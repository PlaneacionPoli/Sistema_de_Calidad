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poligran-my.sharepoint.com/personal/mpapinzonh_poligran_edu_co/Documents/Escritorio/"/>
    </mc:Choice>
  </mc:AlternateContent>
  <xr:revisionPtr revIDLastSave="35" documentId="8_{D4591079-6027-4346-BFB1-A0F828E70BC6}" xr6:coauthVersionLast="47" xr6:coauthVersionMax="47" xr10:uidLastSave="{AEF7D9E7-C6A8-4D47-86FC-B6FBA6013329}"/>
  <bookViews>
    <workbookView xWindow="-120" yWindow="-120" windowWidth="20730" windowHeight="11040" xr2:uid="{F94216DB-B72F-4580-93CD-B5EE724348EE}"/>
  </bookViews>
  <sheets>
    <sheet name="Listado de procesos y subproces" sheetId="1" r:id="rId1"/>
  </sheets>
  <definedNames>
    <definedName name="_xlnm._FilterDatabase" localSheetId="0" hidden="1">'Listado de procesos y subproces'!$A$1:$T$121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1" i="1" l="1"/>
  <c r="I121" i="1"/>
  <c r="O120" i="1"/>
  <c r="I120" i="1"/>
  <c r="O119" i="1"/>
  <c r="O118" i="1"/>
  <c r="I118" i="1"/>
  <c r="O117" i="1"/>
  <c r="I117" i="1"/>
  <c r="O116" i="1"/>
  <c r="I116" i="1"/>
  <c r="O115" i="1"/>
  <c r="I115" i="1"/>
  <c r="O114" i="1"/>
  <c r="I114" i="1"/>
  <c r="O113" i="1"/>
  <c r="I113" i="1"/>
  <c r="O112" i="1"/>
  <c r="I112" i="1"/>
  <c r="O111" i="1"/>
  <c r="I111" i="1"/>
  <c r="O110" i="1"/>
  <c r="I110" i="1"/>
  <c r="O109" i="1"/>
  <c r="O108" i="1"/>
  <c r="I108" i="1"/>
  <c r="O107" i="1"/>
  <c r="I107" i="1"/>
  <c r="O106" i="1"/>
  <c r="I106" i="1"/>
  <c r="O105" i="1"/>
  <c r="I105" i="1"/>
  <c r="O104" i="1"/>
  <c r="I104" i="1"/>
  <c r="O103" i="1"/>
  <c r="I103" i="1"/>
  <c r="O102" i="1"/>
  <c r="I102" i="1"/>
  <c r="O101" i="1"/>
  <c r="I101" i="1"/>
  <c r="O100" i="1"/>
  <c r="I100" i="1"/>
  <c r="O99" i="1"/>
  <c r="I99" i="1"/>
  <c r="O98" i="1"/>
  <c r="I98" i="1"/>
  <c r="O97" i="1"/>
  <c r="I97" i="1"/>
  <c r="O96" i="1"/>
  <c r="I96" i="1"/>
  <c r="O95" i="1"/>
  <c r="I95" i="1"/>
  <c r="O94" i="1"/>
  <c r="I94" i="1"/>
  <c r="O93" i="1"/>
  <c r="I93" i="1"/>
  <c r="O92" i="1"/>
  <c r="I92" i="1"/>
  <c r="O91" i="1"/>
  <c r="I91" i="1"/>
  <c r="O90" i="1"/>
  <c r="I90" i="1"/>
  <c r="O89" i="1"/>
  <c r="I89" i="1"/>
  <c r="O88" i="1"/>
  <c r="I88" i="1"/>
  <c r="O87" i="1"/>
  <c r="I87" i="1"/>
  <c r="O86" i="1"/>
  <c r="I86" i="1"/>
  <c r="O85" i="1"/>
  <c r="I85" i="1"/>
  <c r="O84" i="1"/>
  <c r="O83" i="1"/>
  <c r="I83" i="1"/>
  <c r="O82" i="1"/>
  <c r="I82" i="1"/>
  <c r="O81" i="1"/>
  <c r="I81" i="1"/>
  <c r="O80" i="1"/>
  <c r="I80" i="1"/>
  <c r="O79" i="1"/>
  <c r="I79" i="1"/>
  <c r="O78" i="1"/>
  <c r="I78" i="1"/>
  <c r="O77" i="1"/>
  <c r="I77" i="1"/>
  <c r="O76" i="1"/>
  <c r="I76" i="1"/>
  <c r="O75" i="1"/>
  <c r="I75" i="1"/>
  <c r="O74" i="1"/>
  <c r="I74" i="1"/>
  <c r="O73" i="1"/>
  <c r="I73" i="1"/>
  <c r="O72" i="1"/>
  <c r="O71" i="1"/>
  <c r="I71" i="1"/>
  <c r="O70" i="1"/>
  <c r="I70" i="1"/>
  <c r="O69" i="1"/>
  <c r="I69" i="1"/>
  <c r="O68" i="1"/>
  <c r="O67" i="1"/>
  <c r="O66" i="1"/>
  <c r="O65" i="1"/>
  <c r="O59" i="1"/>
  <c r="O58" i="1"/>
  <c r="O57" i="1"/>
  <c r="O56" i="1"/>
  <c r="I56" i="1"/>
  <c r="O55" i="1"/>
  <c r="O54" i="1"/>
  <c r="O53" i="1"/>
  <c r="O52" i="1"/>
  <c r="O51" i="1"/>
  <c r="O50" i="1"/>
  <c r="O49" i="1"/>
  <c r="O48" i="1"/>
  <c r="O47" i="1"/>
  <c r="O46" i="1"/>
  <c r="O45" i="1"/>
  <c r="O44" i="1"/>
  <c r="O43" i="1"/>
  <c r="O42" i="1"/>
  <c r="O41" i="1"/>
  <c r="O40" i="1"/>
  <c r="O39" i="1"/>
  <c r="O38" i="1"/>
  <c r="I38" i="1"/>
  <c r="O37" i="1"/>
  <c r="I37" i="1"/>
  <c r="O36" i="1"/>
  <c r="I36" i="1"/>
  <c r="O35" i="1"/>
  <c r="I35" i="1"/>
  <c r="O34" i="1"/>
  <c r="I34" i="1"/>
  <c r="O33" i="1"/>
  <c r="I33" i="1"/>
  <c r="O32" i="1"/>
  <c r="I32" i="1"/>
  <c r="O31" i="1"/>
  <c r="I31" i="1"/>
  <c r="O30" i="1"/>
  <c r="I30" i="1"/>
  <c r="O29" i="1"/>
  <c r="I29" i="1"/>
  <c r="O28" i="1"/>
  <c r="I28" i="1"/>
  <c r="O27" i="1"/>
  <c r="I27" i="1"/>
  <c r="O26" i="1"/>
  <c r="I26" i="1"/>
  <c r="O25" i="1"/>
  <c r="I25" i="1"/>
  <c r="O24" i="1"/>
  <c r="I24" i="1"/>
  <c r="O23" i="1"/>
  <c r="I23" i="1"/>
  <c r="O22" i="1"/>
  <c r="I22" i="1"/>
  <c r="O21" i="1"/>
  <c r="I21" i="1"/>
  <c r="O20" i="1"/>
  <c r="I20" i="1"/>
  <c r="O19" i="1"/>
  <c r="I19" i="1"/>
  <c r="O18" i="1"/>
  <c r="I18" i="1"/>
  <c r="O17" i="1"/>
  <c r="O16" i="1"/>
  <c r="I16" i="1"/>
  <c r="O15" i="1"/>
  <c r="I15" i="1"/>
  <c r="O14" i="1"/>
  <c r="I14" i="1"/>
  <c r="O12" i="1"/>
  <c r="O11" i="1"/>
  <c r="I11" i="1"/>
  <c r="O10" i="1"/>
  <c r="I10" i="1"/>
  <c r="O9" i="1"/>
  <c r="O8" i="1"/>
  <c r="I8" i="1"/>
  <c r="O7" i="1"/>
  <c r="I7" i="1"/>
  <c r="O6" i="1"/>
  <c r="I6" i="1"/>
  <c r="O4" i="1"/>
  <c r="O3" i="1"/>
  <c r="O2" i="1"/>
</calcChain>
</file>

<file path=xl/sharedStrings.xml><?xml version="1.0" encoding="utf-8"?>
<sst xmlns="http://schemas.openxmlformats.org/spreadsheetml/2006/main" count="807" uniqueCount="200">
  <si>
    <t>UNIDAD</t>
  </si>
  <si>
    <t>MACROPROCESO</t>
  </si>
  <si>
    <t>PROCESO</t>
  </si>
  <si>
    <t>SUBPROCESO</t>
  </si>
  <si>
    <t xml:space="preserve">OM  </t>
  </si>
  <si>
    <t xml:space="preserve">Acciones </t>
  </si>
  <si>
    <t>Descripción</t>
  </si>
  <si>
    <t xml:space="preserve">Fecha de Vencimiento </t>
  </si>
  <si>
    <t xml:space="preserve">Estado </t>
  </si>
  <si>
    <t xml:space="preserve">Fuente </t>
  </si>
  <si>
    <t xml:space="preserve">Tipo de documento </t>
  </si>
  <si>
    <t xml:space="preserve">Nombre del documento </t>
  </si>
  <si>
    <t>Tipo de Acción</t>
  </si>
  <si>
    <t xml:space="preserve">Fecha de vencimiento </t>
  </si>
  <si>
    <t xml:space="preserve">Id del indicador </t>
  </si>
  <si>
    <t xml:space="preserve">Nombre </t>
  </si>
  <si>
    <t xml:space="preserve">Alimentado </t>
  </si>
  <si>
    <t xml:space="preserve">Analizado </t>
  </si>
  <si>
    <t xml:space="preserve">Cumplimiento </t>
  </si>
  <si>
    <t xml:space="preserve">OM </t>
  </si>
  <si>
    <t>Vicerrectoria Administrativa y Financiera</t>
  </si>
  <si>
    <t>Apoyo</t>
  </si>
  <si>
    <t>Gestión de Infraestructura y Servicios Administrativos</t>
  </si>
  <si>
    <t>Administración de Servicios Generales</t>
  </si>
  <si>
    <t>ISO 9001:2015 4.4f  ISO14001:2015 8.1  Descripción de la no conformidad: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t>
  </si>
  <si>
    <t>Vencido</t>
  </si>
  <si>
    <t>Auditoría de Tercera Parte</t>
  </si>
  <si>
    <t>La organización no ha asegurado que los servicios contratados que puedan afectar la seguridad y salud en el trabajo se controlen de manera adecuada.   Evidencia: Durante la visita de auditoría a la cafetería ubicada en el piso 7 de la sede City Campus, operada por el contratista Freshko, se evidenciaron las siguientes desviaciones:   - Producto procesado el día anterior para perros calientes sin rotulación, lo cual impide su adecuada identificación y control.   - Pulpa de fruta porcionada con rótulo vencido (21-06-2025), lo cual representa una condición insegura en la manipulación y consumo de alimentos.   - Almacenamiento de productos químicos sin cumplir parámetros de compatibilidad, específicamente Detergill (desengrasante) e hipoclorito de sodio, dispuestos juntos sin las separaciones adecuadas, lo cual representa un riesgo químico por posible reacción peligrosa.   - No se evidencia los criterios documentados de supervisión de proveedores tercerizados, para el caso del servicio de limpieza de Casa Limpia.</t>
  </si>
  <si>
    <t>Auditoría Interna - Gestión</t>
  </si>
  <si>
    <t>Rectoría</t>
  </si>
  <si>
    <t>Evaluación y mejora</t>
  </si>
  <si>
    <t>Auditoria Interna</t>
  </si>
  <si>
    <t>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t>
  </si>
  <si>
    <t>Gestión del Cambio</t>
  </si>
  <si>
    <t>Procedimiento</t>
  </si>
  <si>
    <t>PROCEDIMIENTO AUDITORÍA INTERNA</t>
  </si>
  <si>
    <t>Actualizar</t>
  </si>
  <si>
    <t>Vicerrectoria Académica</t>
  </si>
  <si>
    <t>Autoevaluación y Autoregulación</t>
  </si>
  <si>
    <t>Autoevaluación de programas académicos</t>
  </si>
  <si>
    <t>Autoevaluación Institucional</t>
  </si>
  <si>
    <t>Misional</t>
  </si>
  <si>
    <t>Gestión de Recursos Académicos y de Investigación</t>
  </si>
  <si>
    <t>Biblioteca Institucional</t>
  </si>
  <si>
    <t>Centro de Medios Audiovisuales</t>
  </si>
  <si>
    <t>En el marco del seguimiento periódico del proceso se evidenció que:  Los equipos Micrófono RODE con placa de inventario 1001PSS55C y el Televisor LG 1001PSS55C, no contaban con una definición de hoja de vida ni un seguimiento de la ejecución del mantenimiento adecuado a los equipos.   Lo cual genera un incumplimiento al numeral 7.1.3 de la ISO 9001:2015, donde la Institución en algunos casos no contempla controles necesarios para mantener los equipos que soportan sus procesos.</t>
  </si>
  <si>
    <t>Actividades de Seguimiento y Control</t>
  </si>
  <si>
    <t>Estrategico</t>
  </si>
  <si>
    <t>Comunicación y Posicionamiento Estratégico</t>
  </si>
  <si>
    <t>Comunicaciones Externas</t>
  </si>
  <si>
    <t>Manual</t>
  </si>
  <si>
    <t>MANUAL DE VOCEROS INSTITUCIONALES</t>
  </si>
  <si>
    <t>Crear</t>
  </si>
  <si>
    <t>Comunicaciones Internas</t>
  </si>
  <si>
    <t>Gestión Financiera</t>
  </si>
  <si>
    <t>Contabilidad</t>
  </si>
  <si>
    <t>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t>
  </si>
  <si>
    <t>Indicadores</t>
  </si>
  <si>
    <t>Gestión de Portafolio Institucional</t>
  </si>
  <si>
    <t>Creación, modificación y cierre de programas académicos</t>
  </si>
  <si>
    <t>Vicerrectoria del Estudiante</t>
  </si>
  <si>
    <t>Bienestar Institucional</t>
  </si>
  <si>
    <t>Cultura y Deporte**</t>
  </si>
  <si>
    <t>Datos y Analítica</t>
  </si>
  <si>
    <t>Direccionamiento Estrategico</t>
  </si>
  <si>
    <t>Desempeño Institucional</t>
  </si>
  <si>
    <t>Se identifica la necesidad de fortalecer el proceso de evaluación de los indicadores de todos los procesos institucionales, mediante una revisión comparativa entre:   - El objetivo de la caracterización de cada proceso.   - Los indicadores actualmente definidos.   - Los indicadores propuestos por los líderes de proceso.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  Justificación:  Esta oportunidad de mejora permitirá:   - Alinear los indicadores con los objetivos estratégicos y operativos de cada proceso.   - Garantizar que la medición de desempeño sea representativa y útil para la toma de decisiones.   - Fortalecer la trazabilidad entre la caracterización del proceso, sus indicadores y los resultados esperados.   - Promover una cultura de mejora continua basada en evidencia.</t>
  </si>
  <si>
    <t>Diseño de contenido virtual</t>
  </si>
  <si>
    <t>Formatos</t>
  </si>
  <si>
    <t>AVAL PRODUCCIÓN DE MÓDULO</t>
  </si>
  <si>
    <t>PRODUCCIÓN DE MATERIALES</t>
  </si>
  <si>
    <t>Instructivo</t>
  </si>
  <si>
    <t>INSTRUCTIVO CATÁLOGO DE RECURSOS VIRTUALES</t>
  </si>
  <si>
    <t>REGISTRO DE METADATOS</t>
  </si>
  <si>
    <t>INSTRUCTIVO ELABORACIÓN DE MATERIALES FUNDAMENTALES INTERACTIVOS</t>
  </si>
  <si>
    <t>MANUAL DE ESTILO POLI</t>
  </si>
  <si>
    <t>FORMATO REVISION DE UNIDADES</t>
  </si>
  <si>
    <t>FORMATO INFORME PAR ACADEMICO</t>
  </si>
  <si>
    <t>FORMATO GUION DE MODULO</t>
  </si>
  <si>
    <t>FORMATO GUION DE VIDEO MATERIAL FUNDAMENTAL</t>
  </si>
  <si>
    <t>FORMATO GUION DE VIDEO INICIAL</t>
  </si>
  <si>
    <t>FORMATO GUION DE VIDEO POR UNIDAD</t>
  </si>
  <si>
    <t>PROTOCOLO DE PROPIEDAD INTELECTUAL</t>
  </si>
  <si>
    <t>Caracterización</t>
  </si>
  <si>
    <t>CARACTERIZACIÓN DISEÑO DE CONTENIDO VIRTUAL</t>
  </si>
  <si>
    <t>FORMATO PLAN DE VIRTUALIZACIÓN</t>
  </si>
  <si>
    <t>FORMATO PARA VIDEO PRESENCIAL EN ESTUDIO</t>
  </si>
  <si>
    <t>FORMATO PARA VIDEO INTRO EN IA</t>
  </si>
  <si>
    <t>Editorial y Publicaciones**</t>
  </si>
  <si>
    <t>Estudios Internos</t>
  </si>
  <si>
    <t>Evaluación Experiencia mejora</t>
  </si>
  <si>
    <t>Experiencia Institucional</t>
  </si>
  <si>
    <t xml:space="preserve">Investigación, innovación y creación </t>
  </si>
  <si>
    <t>Formación para la investigación, creación e innovación</t>
  </si>
  <si>
    <t>Gestión Ambiental</t>
  </si>
  <si>
    <t>ISO 14001:2015 - 8.1 a  La organización no implementa el control de los procesos de acuerdo con los criterios.    Evidencia:    Durante el recorrido realizado en la sede City Campus se evidencian dos contenedores con sustancia de color oscuro desconocida y sin el etiquetado correspondiente, derivada de las actividades de mantenimiento de la planta de tratamiento de aguas lluvia.  </t>
  </si>
  <si>
    <t>ISO 14001:2015 6.12  Descripción de la no conformidad: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t>
  </si>
  <si>
    <t>En el marco de la línea estratégica de Sostenibilidad y contribuyendo a los objetivos:   - Contribuir a la inclusión, proyección social y el cuidado del medio ambiente.   - Promover una cultura de optimización de recursos financieros como apalancador de la estrategia.   Por lo anterior se plantea la obra de infraestructura para la instalación de páneles solares en la sede los colores de la ciudad de Medellín.  Implementación de un Sistema de Paneles Solares Fotovoltaicos Conetado a Red de 76,8kWp en la Sede Los Colores Edificio Académico en Medellín.  Implementación liderada por el proceso de Gestión de Infraestructura Física. Cambio interno gestionado a traves de la planificación operativa del proceso, impactando al Sistema de Gestión Ambiental.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  Impacto:  Beneficio directo para profesores, administrativos y estudiantes.  Reducción del gasto por el pago del servicio público de energía en áreas comunes.  Generación de conciencia ambiental y ejemplo replicable para otras sedes.  Instalación y puesta en marcha de un sistema fotovoltaico conectado a la red de 76,8kWp, el proyecto contempla el siguiente alcance detallado:.  Alcance detallado:   1. Tipo de sistema y consumo estimado: conectado a la red / 10.200kWh/mes  2. Potencia a instalar: 76,8kW  3. Marca del panel solar: Panel solar Risen / RSM144-10-600BNDG  4. Potencia del panel solar y número de paneles solares: 600W / 128  5. Marca del inversor y tecnología: Inversor (referencia Solis) / inversor trifásico  6. Potencia del inversor y número de inversores: 60.000W / 1  7. Estructura de fijación: Estructura lastrada y de rieles  8. Tipo de salida del sistema: trifásico (F1+F2+F3+N+PE)  9. Tensión de salida del sistema: 220 (F-F) / 127V (F-N) en corriente alterna  10. Equipo de monitorización del sistema local: si  11. Equipo de monitorización del sistema remoto a la nube: si</t>
  </si>
  <si>
    <t>Contexto Institucional DOFA</t>
  </si>
  <si>
    <t>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t>
  </si>
  <si>
    <t>La organización no ha identificado todos los aspectos ambientales asociados a sus actividades, productos y servicios, que puede controlar o influenciar  Evidencia: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t>
  </si>
  <si>
    <t>Gestión de Abastecimiento</t>
  </si>
  <si>
    <t>ISO 9001:2015 -8.4.3 e  Descripción de la no conformidad: La organización no comunica a los proveedores externos el seguimiento al desempeño.   Evidencia: Para el proveedor Convías no se comunicó el resultado de la evaluación de desempeño realizada en junio de 2025.</t>
  </si>
  <si>
    <t>FORMATO TÉRMINOS DE REFERENCIA PARA LICITACIONES</t>
  </si>
  <si>
    <t>FORMATO MATRIZ DE REQUISITOS PARA LA SELECCIÓN DE PROVEEDORES</t>
  </si>
  <si>
    <t>Planificación y Mejora del Sistema Integrado</t>
  </si>
  <si>
    <t>Gestión de Calidad</t>
  </si>
  <si>
    <t>En el marco de la actualización de los requerimientos de la norma 2300, se identifica la necesidad de fortalecer controles en el marco del cumplimiento de las listas restrictivas</t>
  </si>
  <si>
    <t>Riesgos</t>
  </si>
  <si>
    <t>MANUAL CONTROL DE DOCUMENTOS</t>
  </si>
  <si>
    <t>PROCEDIMIENTO VERIFICACION Y CALIBRACION DE EQUIPOS DE MEDICION</t>
  </si>
  <si>
    <t>Título : Brechas identificadas en la supresión de datos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  Objetivo: Garantizar la supresión completa del 100% de los datos de los estudiantes que lo soliciten, mediante un proceso trazable y verificable que asegure el cumplimiento de la Ley 1581 de 2012 y evite contactos posteriores no autorizados.</t>
  </si>
  <si>
    <t>PROCEDIMIENTO SALIDAS NO CONFORMES</t>
  </si>
  <si>
    <t>Gestión de Campañas Integradas de Marketing</t>
  </si>
  <si>
    <t>Extensión</t>
  </si>
  <si>
    <t xml:space="preserve">Gestión de Graduados </t>
  </si>
  <si>
    <t>Política</t>
  </si>
  <si>
    <t>OFICINA DE GRADUADOS</t>
  </si>
  <si>
    <t>COMUNICACIÓN A GRADUADOS</t>
  </si>
  <si>
    <t>Gestión de Infraestructura Física</t>
  </si>
  <si>
    <t>ISO 9001:2015 - 6.3  ISO 14001:2015-8.1  ISO 45001:2018- 8.1.3  Descripción de la no conformidad: La organización no lleva a cabo los cambios de manera planificada.   Evidencia: No se llevó a cabo la planificación del cambio para el reforzamiento estructural del edificio C de la sede Campus.</t>
  </si>
  <si>
    <t>Gestión de la Responsabilidad Social*</t>
  </si>
  <si>
    <t>Gestión de la Tecnología y la Innovación Digital</t>
  </si>
  <si>
    <t>Se ejecuto durante el primer trimestre del 2025 una práctica de seguridad que simulaba ataques controlados para identificar vulnerabilidades en nuestros sistemas de informaciòn, aplicaciones o redes.  Durante la practica de pruebas de seguridad se desarrollaron en diferentes fases obteniendo los siguientes resultados:  Fase 1. Vector Tecnológico (caja negra) - Fase de  Inteligencia, Reconocimiento y Explotación  •RESULTADO: Informaciòn sobre nuestra infraestructura tecnologica expuesta en internet.  Fase 2. Vector Tecnológico extendido (caja negra),  Vector Tecnológico (Caja Gris) y Vector Social   •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  Fase 3. Vector Tecnológico extendido (caja gris), Vector  Físico  RESULTADO: Vulneraciòn desde equipos propios de POLI, tratanto de manipular las politicas de estos activos de tal manera de poder instalar componentes de malware.  NOTA:  Para esta practica se contmepla nuestro riesgo (ID314): Vulneración de la gobernanza, la información desde su integridad, disponibilidad, acceso, confiabilidad (pérdida de información, Ataque cibernético, fuga)</t>
  </si>
  <si>
    <t>MANUAL DE USUARIO - CREACIÓN, ACTUALIZACIÓN Y CIERRE DE CASO</t>
  </si>
  <si>
    <t>Gestión de Proyectos</t>
  </si>
  <si>
    <t>FORMATO FICHA DE INICIATIVA</t>
  </si>
  <si>
    <t>PROCEDIMIENTO PRESENTACIÓN Y PRIORIZACIÓN DE INICIATIVAS INSTITUCIONALES</t>
  </si>
  <si>
    <t>Gestión de Riesgos</t>
  </si>
  <si>
    <t>Gestión de Seguridad y Salud en el Trabajo</t>
  </si>
  <si>
    <t>Gestión de Seguridad y Salud en el Trabajo*</t>
  </si>
  <si>
    <t>POLÍTICA DE PREVENCIÓN DE CONSUMO DE ALCOHOL Y OTRAS SUSTANCIAS PSICOACTIVAS</t>
  </si>
  <si>
    <t>MANUAL PLAN DE PREVENCIÓN DE RIESGO BIOLÓGICO</t>
  </si>
  <si>
    <t xml:space="preserve">Docencia </t>
  </si>
  <si>
    <t>Gestión de Unidades Académicas</t>
  </si>
  <si>
    <t>Gestión Docente</t>
  </si>
  <si>
    <t>Gestión Jurídica y Normativa</t>
  </si>
  <si>
    <t>Gestión y Desarrollo del Talento Humano</t>
  </si>
  <si>
    <t>PROCEDIMIENTO SELECCIÓN Y CONTRATACIÓN DOCENTE</t>
  </si>
  <si>
    <t>Gestión, evaluación e innovación curricular</t>
  </si>
  <si>
    <t>Gobierno Institucional</t>
  </si>
  <si>
    <t>Vicerrectoria de Crecimiento</t>
  </si>
  <si>
    <t>Mercadeo, Admisiones y Matricula</t>
  </si>
  <si>
    <t>Inscripción, admisión y matricula de estudiantes nuevos</t>
  </si>
  <si>
    <t>Investigación, desarrollo teccnológico, innovación y creación</t>
  </si>
  <si>
    <t>LEI</t>
  </si>
  <si>
    <t>Mercadeo de Programas Académicos</t>
  </si>
  <si>
    <t>DISEÑO, EJECUCIÓN Y SEGUIMIENTO DE DIPLOMADOS OFRECIDOS COMO OPCIÓN DE GRADO</t>
  </si>
  <si>
    <t>PROCEDIMIENTO PRESENTACIÓN Y OPERACIÓN DE SERVICIOS B2C</t>
  </si>
  <si>
    <t>PROCEDIMIENTO SEMESTRE COTERMINAL</t>
  </si>
  <si>
    <t>FORMATO PROPUESTAS ACADÉMICAS EDUCACIÓN PARA LA VIDA</t>
  </si>
  <si>
    <t>Mercadeo y Venta de educación para la vida</t>
  </si>
  <si>
    <t>Operación de nuevos negocios y CI</t>
  </si>
  <si>
    <t>Para asegurar una gestión de riesgos efectiva y adaptada a la evolución metodológica y a los cambios del entorno, se realiza mantenimiento proactivo y preventivo al proceso.</t>
  </si>
  <si>
    <t>PRESENTACIÓN Y OPERACIÓN DE SERVICIOS CORPORATIVOS EN CONVOCATORIAS PRIVADAS. (Operación de negocios B2B)</t>
  </si>
  <si>
    <t xml:space="preserve">PROCEDIMIENTO PRESENTACIÓN Y OPERACIÓN DE SERVICIOS B2C </t>
  </si>
  <si>
    <t xml:space="preserve">PROCEDIMIENTO CONVENIOS INSTITUCIONALES Y OPERACIONES </t>
  </si>
  <si>
    <t xml:space="preserve">PRESENTACIÓN Y OPERACIÓN DE SERVICIOS CORPORATIVOS EN CONVOCATORIAS PÚBLICAS  </t>
  </si>
  <si>
    <t>DISEÑO, EJECUCIÓN Y SEGUIMIENTO DE DIPLOMADOS OFRECIDOS COMO OPCIÓN DE GRADO </t>
  </si>
  <si>
    <t>FORMATO ENTREGA DE PROYECTOS EDUCACIÓN CONTINÚA</t>
  </si>
  <si>
    <t>Operaciones Académicas Pregrado y Posgrado Presencial y Virtual</t>
  </si>
  <si>
    <t>PROCEDIMIENTO CAMBIO DE COHORTE</t>
  </si>
  <si>
    <t>LISTADO DE ESTUDIANTES PARA CAMBIO DE COHORTE</t>
  </si>
  <si>
    <t>MÁSTER ESCENARIOS</t>
  </si>
  <si>
    <t>PROCEDIMIENTO INSCRIPCIÓN DE ASIGNATURAS Y MÓDULOS</t>
  </si>
  <si>
    <t>CANCELACIÓN DE ASIGNATURAS Y MÓDULOS</t>
  </si>
  <si>
    <t>REVISION DE AULAS MASTER</t>
  </si>
  <si>
    <t>Servicio y Permanencia</t>
  </si>
  <si>
    <t>Permanencia</t>
  </si>
  <si>
    <t>Planeación Estrategica</t>
  </si>
  <si>
    <t xml:space="preserve">Planeación Financiera </t>
  </si>
  <si>
    <t>Planificación POLISIGS</t>
  </si>
  <si>
    <t>POLÍTICA SISTEMA INTEGRADO DE ASEGURAMIENTO Y GESTIÓN  PARA LA SOSTENIBILIDAD</t>
  </si>
  <si>
    <t>Prácticas</t>
  </si>
  <si>
    <t>MONITORÍAS</t>
  </si>
  <si>
    <t>PROCEDIMIENTO PRÁCTICA EMPRESARIAL INTERNACIONAL SALIENTE</t>
  </si>
  <si>
    <t>PROCEDIMIENTO PRÁCTICA EMPRESARIAL INTERNACIONAL ENTRANTE</t>
  </si>
  <si>
    <t>Reglamento</t>
  </si>
  <si>
    <t>REGLAMENTO GENERAL DE PRACTICAS</t>
  </si>
  <si>
    <t>Registro y Control</t>
  </si>
  <si>
    <t>Rematricula</t>
  </si>
  <si>
    <t>CARACTERIZACIÓN REMATRÍCULA</t>
  </si>
  <si>
    <t>INSTRUCTIVO CONFIGURACIÓN DE FECHAS, BOLETO DE PAGO Y SUBBOLETOS</t>
  </si>
  <si>
    <t>PROCEDIMIENTO REMATRÍCULA DE ESTUDIANTES ANTIGUOS</t>
  </si>
  <si>
    <t>PROCEDIMIENTO REINTEGROS</t>
  </si>
  <si>
    <t>Servicio</t>
  </si>
  <si>
    <t>Servicio de Salud</t>
  </si>
  <si>
    <t>HISTORIA CLINICA</t>
  </si>
  <si>
    <t>PRESTAMO DE HISTORIAS CLÍNICAS</t>
  </si>
  <si>
    <t>USO Y MANEJO DE LA HISTORIA CLÍNICA</t>
  </si>
  <si>
    <t>CONTROL DE ENTRADA Y SALIDA DE HISTORIAS CLÍNICAS Y DEMÁS DOCUMENTOS CONFIDENCIALES</t>
  </si>
  <si>
    <t>GESTIÓN, CONFIDENCIALIDAD Y CUSTODIA DE HISTORIAS CLÍNICAS, REGISTROS DE EVOLUCIÓN Y OTROS DOCUMENTOS</t>
  </si>
  <si>
    <t>LIMPIEZA DE SUPERFICIES Y DESINFECCIÓN DE BAÑOS</t>
  </si>
  <si>
    <t>DILIGENCIAMIENTO DE HISTORIAS CLINICAS, REGISTROS DE EVOLUCIÓN Y OTROS DOCUMENTOS</t>
  </si>
  <si>
    <t>AUDITORIA HISTORIAS CLÍNICAS</t>
  </si>
  <si>
    <t>REALIZACIÓN DEL COMITÉ HISTORIAS CLÍNICAS</t>
  </si>
  <si>
    <t>Tesorería</t>
  </si>
  <si>
    <t>Visibilidad Nacional e Internacional</t>
  </si>
  <si>
    <t>FORMATO TABLA AVAL INTERCAMBIO VIRTUAL</t>
  </si>
  <si>
    <t>PROCEDIMIENTO ENCUESTA SATISFACCIÓN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</si>
</sst>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color theme="1"/>
      <name val="Aptos Narrow"/>
      <family val="2"/>
      <scheme val="minor"/>
    </font>
    <font>
      <b/>
      <sz val="11"/>
      <color theme="0"/>
      <name val="Aptos Narrow"/>
      <family val="2"/>
      <scheme val="minor"/>
    </font>
    <font>
      <sz val="10"/>
      <color theme="1"/>
      <name val="Gill Sans MT"/>
      <family val="2"/>
    </font>
    <font>
      <sz val="11"/>
      <name val="Aptos Narrow"/>
      <family val="2"/>
      <scheme val="minor"/>
    </font>
    <font>
      <sz val="11"/>
      <color rgb="FF000000"/>
      <name val="Aptos Narrow"/>
      <family val="2"/>
      <scheme val="minor"/>
    </font>
    <font>
      <sz val="11"/>
      <color rgb="FF000000"/>
      <name val="Aptos Narrow"/>
      <family val="2"/>
    </font>
  </fonts>
  <fills count="6">
    <fill>
      <patternFill patternType="none"/>
    </fill>
    <fill>
      <patternFill patternType="gray125"/>
    </fill>
    <fill>
      <patternFill patternType="solid">
        <fgColor rgb="FF00206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xf>
    <xf numFmtId="0" fontId="1" fillId="2" borderId="1" xfId="0" applyFont="1" applyFill="1" applyBorder="1" applyAlignment="1">
      <alignment vertical="center"/>
    </xf>
    <xf numFmtId="0" fontId="1" fillId="3" borderId="1" xfId="0" applyFont="1" applyFill="1" applyBorder="1" applyAlignment="1">
      <alignment horizontal="center"/>
    </xf>
    <xf numFmtId="14" fontId="1" fillId="3" borderId="1" xfId="0" applyNumberFormat="1"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5" borderId="2" xfId="0" applyFont="1" applyFill="1" applyBorder="1" applyAlignment="1">
      <alignment horizontal="center"/>
    </xf>
    <xf numFmtId="0" fontId="2" fillId="0" borderId="1" xfId="0" applyFont="1" applyBorder="1" applyAlignment="1">
      <alignment vertical="center"/>
    </xf>
    <xf numFmtId="0" fontId="0" fillId="0" borderId="1" xfId="0" applyBorder="1"/>
    <xf numFmtId="14" fontId="0" fillId="0" borderId="1" xfId="0" applyNumberFormat="1" applyBorder="1"/>
    <xf numFmtId="0" fontId="3" fillId="0" borderId="1" xfId="0" applyFont="1" applyBorder="1"/>
    <xf numFmtId="0" fontId="0" fillId="0" borderId="2" xfId="0" applyBorder="1"/>
    <xf numFmtId="0" fontId="2" fillId="0" borderId="1" xfId="0" applyFont="1" applyBorder="1" applyAlignment="1">
      <alignment vertical="center" wrapText="1"/>
    </xf>
    <xf numFmtId="0" fontId="0" fillId="0" borderId="3" xfId="0" applyBorder="1"/>
    <xf numFmtId="0" fontId="3" fillId="0" borderId="3" xfId="0" applyFont="1" applyBorder="1"/>
    <xf numFmtId="0" fontId="0" fillId="0" borderId="1" xfId="0" applyBorder="1" applyAlignment="1">
      <alignment vertical="center"/>
    </xf>
    <xf numFmtId="14" fontId="4" fillId="0" borderId="1" xfId="0" applyNumberFormat="1" applyFont="1" applyBorder="1" applyAlignment="1">
      <alignment horizontal="right" vertical="center"/>
    </xf>
    <xf numFmtId="14" fontId="5" fillId="0" borderId="1" xfId="0" applyNumberFormat="1" applyFont="1" applyBorder="1" applyAlignment="1">
      <alignment horizontal="right"/>
    </xf>
    <xf numFmtId="14" fontId="5" fillId="0" borderId="1" xfId="0" applyNumberFormat="1" applyFont="1" applyBorder="1"/>
    <xf numFmtId="0" fontId="2" fillId="0" borderId="4" xfId="0" applyFont="1" applyBorder="1" applyAlignment="1">
      <alignment vertical="center"/>
    </xf>
    <xf numFmtId="14" fontId="0" fillId="0" borderId="3" xfId="0" applyNumberFormat="1" applyBorder="1"/>
    <xf numFmtId="14" fontId="4" fillId="0" borderId="3" xfId="0" applyNumberFormat="1" applyFont="1" applyBorder="1" applyAlignment="1">
      <alignment horizontal="right" vertical="center"/>
    </xf>
    <xf numFmtId="14" fontId="5" fillId="0" borderId="3" xfId="0" applyNumberFormat="1" applyFont="1" applyBorder="1" applyAlignment="1">
      <alignment horizontal="right"/>
    </xf>
    <xf numFmtId="164" fontId="0" fillId="0" borderId="1" xfId="0" applyNumberFormat="1" applyBorder="1" applyAlignment="1">
      <alignment vertical="center"/>
    </xf>
    <xf numFmtId="14" fontId="0" fillId="0" borderId="0" xfId="0" applyNumberFormat="1"/>
    <xf numFmtId="0" fontId="3" fillId="0" borderId="0" xfId="0" applyFont="1"/>
    <xf numFmtId="0" fontId="0" fillId="0" borderId="0" xfId="0" applyAlignment="1">
      <alignment vertical="center"/>
    </xf>
    <xf numFmtId="0" fontId="0" fillId="0" borderId="4" xfId="0" applyBorder="1"/>
    <xf numFmtId="0" fontId="0" fillId="0" borderId="5" xfId="0" applyBorder="1"/>
    <xf numFmtId="14" fontId="0" fillId="0" borderId="5" xfId="0" applyNumberFormat="1" applyBorder="1"/>
    <xf numFmtId="0" fontId="2" fillId="0" borderId="2" xfId="0" applyFont="1" applyBorder="1" applyAlignment="1">
      <alignment vertical="center"/>
    </xf>
    <xf numFmtId="0" fontId="0" fillId="0" borderId="6" xfId="0" applyBorder="1"/>
    <xf numFmtId="14" fontId="0" fillId="0" borderId="6" xfId="0" applyNumberFormat="1" applyBorder="1"/>
    <xf numFmtId="0" fontId="0" fillId="0" borderId="7" xfId="0" applyBorder="1"/>
    <xf numFmtId="14" fontId="0" fillId="0" borderId="7"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335F-7644-4C1C-9A0C-895E7A8EA09C}">
  <dimension ref="A1:U121"/>
  <sheetViews>
    <sheetView tabSelected="1" topLeftCell="A105" zoomScale="90" workbookViewId="0">
      <pane xSplit="11400" ySplit="540" topLeftCell="D36" activePane="bottomRight"/>
      <selection pane="bottomRight" activeCell="I50" sqref="I50"/>
      <selection pane="bottomLeft" activeCell="A68" sqref="A68:XFD72"/>
      <selection pane="topRight" activeCell="G1" sqref="G1:G1048576"/>
    </sheetView>
  </sheetViews>
  <sheetFormatPr defaultColWidth="11.42578125" defaultRowHeight="15"/>
  <cols>
    <col min="1" max="1" width="24.42578125" customWidth="1"/>
    <col min="2" max="2" width="21.140625" customWidth="1"/>
    <col min="3" max="3" width="35.28515625" customWidth="1"/>
    <col min="4" max="4" width="35.7109375" customWidth="1"/>
    <col min="5" max="5" width="11" customWidth="1"/>
    <col min="6" max="7" width="16.7109375" customWidth="1"/>
    <col min="8" max="8" width="21.5703125" style="25" bestFit="1" customWidth="1"/>
    <col min="9" max="9" width="9.85546875" customWidth="1"/>
    <col min="10" max="10" width="24.42578125" bestFit="1" customWidth="1"/>
    <col min="11" max="11" width="18.85546875" bestFit="1" customWidth="1"/>
    <col min="12" max="12" width="80.5703125" style="26" bestFit="1" customWidth="1"/>
    <col min="13" max="13" width="18.5703125" bestFit="1" customWidth="1"/>
    <col min="14" max="14" width="21.42578125" bestFit="1" customWidth="1"/>
    <col min="15" max="15" width="16.140625" bestFit="1" customWidth="1"/>
    <col min="16" max="16" width="15.28515625" bestFit="1" customWidth="1"/>
    <col min="17" max="17" width="13.42578125" customWidth="1"/>
    <col min="20" max="20" width="14.42578125" bestFit="1" customWidth="1"/>
  </cols>
  <sheetData>
    <row r="1" spans="1:21">
      <c r="A1" s="1" t="s">
        <v>0</v>
      </c>
      <c r="B1" s="1" t="s">
        <v>1</v>
      </c>
      <c r="C1" s="1" t="s">
        <v>2</v>
      </c>
      <c r="D1" s="2" t="s">
        <v>3</v>
      </c>
      <c r="E1" s="3" t="s">
        <v>4</v>
      </c>
      <c r="F1" s="3" t="s">
        <v>5</v>
      </c>
      <c r="G1" s="3" t="s">
        <v>6</v>
      </c>
      <c r="H1" s="4" t="s">
        <v>7</v>
      </c>
      <c r="I1" s="3" t="s">
        <v>8</v>
      </c>
      <c r="J1" s="3" t="s">
        <v>9</v>
      </c>
      <c r="K1" s="5" t="s">
        <v>10</v>
      </c>
      <c r="L1" s="5" t="s">
        <v>11</v>
      </c>
      <c r="M1" s="5" t="s">
        <v>12</v>
      </c>
      <c r="N1" s="5" t="s">
        <v>13</v>
      </c>
      <c r="O1" s="5" t="s">
        <v>8</v>
      </c>
      <c r="P1" s="6" t="s">
        <v>14</v>
      </c>
      <c r="Q1" s="6" t="s">
        <v>15</v>
      </c>
      <c r="R1" s="6" t="s">
        <v>16</v>
      </c>
      <c r="S1" s="6" t="s">
        <v>17</v>
      </c>
      <c r="T1" s="7" t="s">
        <v>18</v>
      </c>
      <c r="U1" s="6" t="s">
        <v>19</v>
      </c>
    </row>
    <row r="2" spans="1:21">
      <c r="A2" s="8" t="s">
        <v>20</v>
      </c>
      <c r="B2" s="8" t="s">
        <v>21</v>
      </c>
      <c r="C2" s="8" t="s">
        <v>22</v>
      </c>
      <c r="D2" s="8" t="s">
        <v>23</v>
      </c>
      <c r="E2" s="9">
        <v>449</v>
      </c>
      <c r="F2" s="9">
        <v>1824</v>
      </c>
      <c r="G2" s="9" t="s">
        <v>24</v>
      </c>
      <c r="H2" s="10">
        <v>46022</v>
      </c>
      <c r="I2" s="10" t="s">
        <v>25</v>
      </c>
      <c r="J2" s="9" t="s">
        <v>26</v>
      </c>
      <c r="K2" s="9"/>
      <c r="L2" s="11"/>
      <c r="M2" s="9"/>
      <c r="N2" s="10"/>
      <c r="O2" s="9" t="str">
        <f ca="1">IF(N2="","",IF(N2&lt;TODAY(),"Vencido","Próximo a vencer"))</f>
        <v/>
      </c>
      <c r="P2" s="9"/>
      <c r="Q2" s="9"/>
      <c r="R2" s="9"/>
      <c r="S2" s="9"/>
      <c r="T2" s="12"/>
      <c r="U2" s="9"/>
    </row>
    <row r="3" spans="1:21">
      <c r="A3" s="8" t="s">
        <v>20</v>
      </c>
      <c r="B3" s="8" t="s">
        <v>21</v>
      </c>
      <c r="C3" s="8" t="s">
        <v>22</v>
      </c>
      <c r="D3" s="8" t="s">
        <v>23</v>
      </c>
      <c r="E3">
        <v>429</v>
      </c>
      <c r="F3" s="9">
        <v>1813</v>
      </c>
      <c r="G3" s="9" t="s">
        <v>27</v>
      </c>
      <c r="H3" s="10">
        <v>46080</v>
      </c>
      <c r="I3" s="10" t="s">
        <v>25</v>
      </c>
      <c r="J3" s="9" t="s">
        <v>28</v>
      </c>
      <c r="K3" s="9"/>
      <c r="L3" s="11"/>
      <c r="M3" s="9"/>
      <c r="N3" s="10"/>
      <c r="O3" s="9" t="str">
        <f ca="1">IF(N3="","",IF(N3&lt;TODAY(),"Vencido","Próximo a vencer"))</f>
        <v/>
      </c>
      <c r="P3" s="9"/>
      <c r="Q3" s="9"/>
      <c r="R3" s="9"/>
      <c r="S3" s="9"/>
      <c r="T3" s="12"/>
      <c r="U3" s="9"/>
    </row>
    <row r="4" spans="1:21">
      <c r="A4" s="8" t="s">
        <v>29</v>
      </c>
      <c r="B4" s="8" t="s">
        <v>30</v>
      </c>
      <c r="C4" s="8" t="s">
        <v>31</v>
      </c>
      <c r="D4" s="8" t="s">
        <v>31</v>
      </c>
      <c r="E4" s="28">
        <v>419</v>
      </c>
      <c r="F4" s="9">
        <v>1663</v>
      </c>
      <c r="G4" s="9" t="s">
        <v>32</v>
      </c>
      <c r="H4" s="10">
        <v>45930</v>
      </c>
      <c r="I4" s="10" t="s">
        <v>25</v>
      </c>
      <c r="J4" s="9" t="s">
        <v>33</v>
      </c>
      <c r="K4" s="9" t="s">
        <v>34</v>
      </c>
      <c r="L4" s="11" t="s">
        <v>35</v>
      </c>
      <c r="M4" s="9" t="s">
        <v>36</v>
      </c>
      <c r="N4" s="10">
        <v>46112</v>
      </c>
      <c r="O4" s="9" t="str">
        <f ca="1">IF(N4="","",IF(N4&lt;TODAY(),"Vencido","Próximo a vencer"))</f>
        <v>Próximo a vencer</v>
      </c>
      <c r="P4" s="9"/>
      <c r="Q4" s="9"/>
      <c r="R4" s="9"/>
      <c r="S4" s="9"/>
      <c r="T4" s="12"/>
      <c r="U4" s="9"/>
    </row>
    <row r="5" spans="1:21">
      <c r="A5" s="8" t="s">
        <v>29</v>
      </c>
      <c r="B5" s="8" t="s">
        <v>30</v>
      </c>
      <c r="C5" s="8" t="s">
        <v>31</v>
      </c>
      <c r="D5" s="8" t="s">
        <v>31</v>
      </c>
      <c r="E5">
        <v>419</v>
      </c>
      <c r="F5" s="9">
        <v>1665</v>
      </c>
      <c r="G5" s="9" t="s">
        <v>32</v>
      </c>
      <c r="H5" s="10">
        <v>45961</v>
      </c>
      <c r="I5" s="10" t="s">
        <v>25</v>
      </c>
      <c r="J5" s="9" t="s">
        <v>33</v>
      </c>
      <c r="K5" s="9"/>
      <c r="L5" s="11"/>
      <c r="M5" s="9"/>
      <c r="N5" s="10"/>
      <c r="O5" s="9"/>
      <c r="P5" s="9"/>
      <c r="Q5" s="9"/>
      <c r="R5" s="9"/>
      <c r="S5" s="9"/>
      <c r="T5" s="12"/>
      <c r="U5" s="9"/>
    </row>
    <row r="6" spans="1:21">
      <c r="A6" s="8" t="s">
        <v>37</v>
      </c>
      <c r="B6" s="8" t="s">
        <v>30</v>
      </c>
      <c r="C6" s="8" t="s">
        <v>38</v>
      </c>
      <c r="D6" s="8" t="s">
        <v>39</v>
      </c>
      <c r="E6" s="9"/>
      <c r="F6" s="9"/>
      <c r="G6" s="9"/>
      <c r="H6" s="10"/>
      <c r="I6" s="9" t="str">
        <f t="shared" ref="I6:I74" ca="1" si="0">IF(H6="","",IF(H6&lt;TODAY(),"Vencido","Próximo a vencer"))</f>
        <v/>
      </c>
      <c r="J6" s="9"/>
      <c r="K6" s="9"/>
      <c r="L6" s="11"/>
      <c r="M6" s="9"/>
      <c r="N6" s="10"/>
      <c r="O6" s="9" t="str">
        <f ca="1">IF(N6="","",IF(N6&lt;TODAY(),"Vencido","Próximo a vencer"))</f>
        <v/>
      </c>
      <c r="P6" s="9"/>
      <c r="Q6" s="9"/>
      <c r="R6" s="9"/>
      <c r="S6" s="9"/>
      <c r="T6" s="12"/>
      <c r="U6" s="9"/>
    </row>
    <row r="7" spans="1:21">
      <c r="A7" s="8" t="s">
        <v>37</v>
      </c>
      <c r="B7" s="8" t="s">
        <v>30</v>
      </c>
      <c r="C7" s="8" t="s">
        <v>38</v>
      </c>
      <c r="D7" s="8" t="s">
        <v>40</v>
      </c>
      <c r="E7" s="9"/>
      <c r="F7" s="9"/>
      <c r="G7" s="9"/>
      <c r="H7" s="10"/>
      <c r="I7" s="9" t="str">
        <f t="shared" ca="1" si="0"/>
        <v/>
      </c>
      <c r="J7" s="9"/>
      <c r="K7" s="9"/>
      <c r="L7" s="11"/>
      <c r="M7" s="9"/>
      <c r="N7" s="10"/>
      <c r="O7" s="9" t="str">
        <f ca="1">IF(N7="","",IF(N7&lt;TODAY(),"Vencido","Próximo a vencer"))</f>
        <v/>
      </c>
      <c r="P7" s="9"/>
      <c r="Q7" s="9"/>
      <c r="R7" s="9"/>
      <c r="S7" s="9"/>
      <c r="T7" s="12"/>
      <c r="U7" s="9"/>
    </row>
    <row r="8" spans="1:21">
      <c r="A8" s="8" t="s">
        <v>37</v>
      </c>
      <c r="B8" s="8" t="s">
        <v>41</v>
      </c>
      <c r="C8" s="8" t="s">
        <v>42</v>
      </c>
      <c r="D8" s="8" t="s">
        <v>43</v>
      </c>
      <c r="E8" s="9"/>
      <c r="F8" s="9"/>
      <c r="G8" s="9"/>
      <c r="H8" s="10"/>
      <c r="I8" s="9" t="str">
        <f t="shared" ca="1" si="0"/>
        <v/>
      </c>
      <c r="J8" s="9"/>
      <c r="K8" s="9"/>
      <c r="L8" s="11"/>
      <c r="M8" s="9"/>
      <c r="N8" s="10"/>
      <c r="O8" s="9" t="str">
        <f ca="1">IF(N8="","",IF(N8&lt;TODAY(),"Vencido","Próximo a vencer"))</f>
        <v/>
      </c>
      <c r="P8" s="9"/>
      <c r="Q8" s="9"/>
      <c r="R8" s="9"/>
      <c r="S8" s="9"/>
      <c r="T8" s="12"/>
      <c r="U8" s="9"/>
    </row>
    <row r="9" spans="1:21">
      <c r="A9" s="8" t="s">
        <v>37</v>
      </c>
      <c r="B9" s="8" t="s">
        <v>41</v>
      </c>
      <c r="C9" s="8" t="s">
        <v>42</v>
      </c>
      <c r="D9" s="8" t="s">
        <v>44</v>
      </c>
      <c r="E9" s="9">
        <v>445</v>
      </c>
      <c r="F9" s="9">
        <v>1797</v>
      </c>
      <c r="G9" s="9" t="s">
        <v>45</v>
      </c>
      <c r="H9" s="10">
        <v>46022</v>
      </c>
      <c r="I9" s="10" t="s">
        <v>25</v>
      </c>
      <c r="J9" s="9" t="s">
        <v>46</v>
      </c>
      <c r="K9" s="9"/>
      <c r="L9" s="11"/>
      <c r="M9" s="9"/>
      <c r="N9" s="10"/>
      <c r="O9" s="9" t="str">
        <f ca="1">IF(N9="","",IF(N9&lt;TODAY(),"Vencido","Próximo a vencer"))</f>
        <v/>
      </c>
      <c r="P9" s="9"/>
      <c r="Q9" s="9"/>
      <c r="R9" s="9"/>
      <c r="S9" s="9"/>
      <c r="T9" s="12"/>
      <c r="U9" s="9"/>
    </row>
    <row r="10" spans="1:21">
      <c r="A10" s="8" t="s">
        <v>29</v>
      </c>
      <c r="B10" s="8" t="s">
        <v>47</v>
      </c>
      <c r="C10" s="8" t="s">
        <v>48</v>
      </c>
      <c r="D10" s="8" t="s">
        <v>49</v>
      </c>
      <c r="F10" s="9"/>
      <c r="G10" s="9"/>
      <c r="H10" s="10"/>
      <c r="I10" s="9" t="str">
        <f t="shared" ca="1" si="0"/>
        <v/>
      </c>
      <c r="J10" s="9"/>
      <c r="K10" s="9" t="s">
        <v>50</v>
      </c>
      <c r="L10" s="11" t="s">
        <v>51</v>
      </c>
      <c r="M10" s="9" t="s">
        <v>52</v>
      </c>
      <c r="N10" s="10">
        <v>46068</v>
      </c>
      <c r="O10" s="9" t="str">
        <f ca="1">IF(N10="","",IF(N10&lt;TODAY(),"Vencido","Próximo a vencer"))</f>
        <v>Vencido</v>
      </c>
      <c r="P10" s="9"/>
      <c r="Q10" s="9"/>
      <c r="R10" s="9"/>
      <c r="S10" s="9"/>
      <c r="T10" s="12"/>
      <c r="U10" s="9"/>
    </row>
    <row r="11" spans="1:21">
      <c r="A11" s="8" t="s">
        <v>29</v>
      </c>
      <c r="B11" s="8" t="s">
        <v>47</v>
      </c>
      <c r="C11" s="8" t="s">
        <v>48</v>
      </c>
      <c r="D11" s="8" t="s">
        <v>53</v>
      </c>
      <c r="E11" s="9"/>
      <c r="F11" s="9"/>
      <c r="G11" s="9"/>
      <c r="H11" s="10"/>
      <c r="I11" s="9" t="str">
        <f t="shared" ca="1" si="0"/>
        <v/>
      </c>
      <c r="J11" s="9"/>
      <c r="K11" s="9"/>
      <c r="L11" s="11"/>
      <c r="M11" s="9"/>
      <c r="N11" s="10"/>
      <c r="O11" s="9" t="str">
        <f ca="1">IF(N11="","",IF(N11&lt;TODAY(),"Vencido","Próximo a vencer"))</f>
        <v/>
      </c>
      <c r="P11" s="9"/>
      <c r="Q11" s="9"/>
      <c r="R11" s="9"/>
      <c r="S11" s="9"/>
      <c r="T11" s="12"/>
      <c r="U11" s="9"/>
    </row>
    <row r="12" spans="1:21">
      <c r="A12" s="8" t="s">
        <v>20</v>
      </c>
      <c r="B12" s="8" t="s">
        <v>21</v>
      </c>
      <c r="C12" s="8" t="s">
        <v>54</v>
      </c>
      <c r="D12" s="8" t="s">
        <v>55</v>
      </c>
      <c r="E12" s="9">
        <v>440</v>
      </c>
      <c r="F12" s="9">
        <v>1775</v>
      </c>
      <c r="G12" s="9" t="s">
        <v>56</v>
      </c>
      <c r="H12" s="10">
        <v>46045</v>
      </c>
      <c r="I12" s="10" t="s">
        <v>25</v>
      </c>
      <c r="J12" s="9" t="s">
        <v>57</v>
      </c>
      <c r="K12" s="9"/>
      <c r="L12" s="11"/>
      <c r="M12" s="9"/>
      <c r="N12" s="10"/>
      <c r="O12" s="9" t="str">
        <f ca="1">IF(N12="","",IF(N12&lt;TODAY(),"Vencido","Próximo a vencer"))</f>
        <v/>
      </c>
      <c r="P12" s="9"/>
      <c r="Q12" s="9"/>
      <c r="R12" s="9"/>
      <c r="S12" s="9"/>
      <c r="T12" s="12"/>
      <c r="U12" s="9"/>
    </row>
    <row r="13" spans="1:21">
      <c r="A13" s="8" t="s">
        <v>20</v>
      </c>
      <c r="B13" s="8" t="s">
        <v>21</v>
      </c>
      <c r="C13" s="8" t="s">
        <v>54</v>
      </c>
      <c r="D13" s="8" t="s">
        <v>55</v>
      </c>
      <c r="E13" s="9">
        <v>440</v>
      </c>
      <c r="F13" s="9">
        <v>1773</v>
      </c>
      <c r="G13" s="9" t="s">
        <v>56</v>
      </c>
      <c r="H13" s="10">
        <v>46051</v>
      </c>
      <c r="I13" s="10" t="s">
        <v>25</v>
      </c>
      <c r="J13" s="9" t="s">
        <v>57</v>
      </c>
      <c r="K13" s="9"/>
      <c r="L13" s="11"/>
      <c r="M13" s="9"/>
      <c r="N13" s="10"/>
      <c r="O13" s="9"/>
      <c r="P13" s="9"/>
      <c r="Q13" s="9"/>
      <c r="R13" s="9"/>
      <c r="S13" s="9"/>
      <c r="T13" s="12"/>
      <c r="U13" s="9"/>
    </row>
    <row r="14" spans="1:21" ht="24.75">
      <c r="A14" s="8" t="s">
        <v>37</v>
      </c>
      <c r="B14" s="8" t="s">
        <v>41</v>
      </c>
      <c r="C14" s="8" t="s">
        <v>58</v>
      </c>
      <c r="D14" s="13" t="s">
        <v>59</v>
      </c>
      <c r="E14" s="9"/>
      <c r="F14" s="9"/>
      <c r="G14" s="9"/>
      <c r="H14" s="10"/>
      <c r="I14" s="9" t="str">
        <f t="shared" ca="1" si="0"/>
        <v/>
      </c>
      <c r="J14" s="9"/>
      <c r="K14" s="9"/>
      <c r="L14" s="11"/>
      <c r="M14" s="9"/>
      <c r="N14" s="10"/>
      <c r="O14" s="9" t="str">
        <f ca="1">IF(N14="","",IF(N14&lt;TODAY(),"Vencido","Próximo a vencer"))</f>
        <v/>
      </c>
      <c r="P14" s="9"/>
      <c r="Q14" s="9"/>
      <c r="R14" s="9"/>
      <c r="S14" s="9"/>
      <c r="T14" s="12"/>
      <c r="U14" s="9"/>
    </row>
    <row r="15" spans="1:21">
      <c r="A15" s="8" t="s">
        <v>60</v>
      </c>
      <c r="B15" s="8" t="s">
        <v>41</v>
      </c>
      <c r="C15" s="8" t="s">
        <v>61</v>
      </c>
      <c r="D15" s="8" t="s">
        <v>62</v>
      </c>
      <c r="E15" s="9"/>
      <c r="F15" s="9"/>
      <c r="G15" s="9"/>
      <c r="H15" s="10"/>
      <c r="I15" s="9" t="str">
        <f t="shared" ca="1" si="0"/>
        <v/>
      </c>
      <c r="J15" s="9"/>
      <c r="K15" s="9"/>
      <c r="L15" s="11"/>
      <c r="M15" s="9"/>
      <c r="N15" s="10"/>
      <c r="O15" s="9" t="str">
        <f ca="1">IF(N15="","",IF(N15&lt;TODAY(),"Vencido","Próximo a vencer"))</f>
        <v/>
      </c>
      <c r="P15" s="9"/>
      <c r="Q15" s="9"/>
      <c r="R15" s="9"/>
      <c r="S15" s="9"/>
      <c r="T15" s="12"/>
      <c r="U15" s="9"/>
    </row>
    <row r="16" spans="1:21">
      <c r="A16" s="8" t="s">
        <v>60</v>
      </c>
      <c r="B16" s="8" t="s">
        <v>30</v>
      </c>
      <c r="C16" s="8" t="s">
        <v>63</v>
      </c>
      <c r="D16" s="8" t="s">
        <v>63</v>
      </c>
      <c r="E16" s="9"/>
      <c r="F16" s="9"/>
      <c r="G16" s="9"/>
      <c r="H16" s="10"/>
      <c r="I16" s="9" t="str">
        <f t="shared" ca="1" si="0"/>
        <v/>
      </c>
      <c r="J16" s="9"/>
      <c r="K16" s="9"/>
      <c r="L16" s="11"/>
      <c r="M16" s="9"/>
      <c r="N16" s="10"/>
      <c r="O16" s="9" t="str">
        <f ca="1">IF(N16="","",IF(N16&lt;TODAY(),"Vencido","Próximo a vencer"))</f>
        <v/>
      </c>
      <c r="P16" s="9"/>
      <c r="Q16" s="9"/>
      <c r="R16" s="9"/>
      <c r="S16" s="9"/>
      <c r="T16" s="12"/>
      <c r="U16" s="9"/>
    </row>
    <row r="17" spans="1:21">
      <c r="A17" s="8" t="s">
        <v>29</v>
      </c>
      <c r="B17" s="8" t="s">
        <v>47</v>
      </c>
      <c r="C17" s="8" t="s">
        <v>64</v>
      </c>
      <c r="D17" s="8" t="s">
        <v>65</v>
      </c>
      <c r="E17" s="9">
        <v>443</v>
      </c>
      <c r="F17" s="9">
        <v>1784</v>
      </c>
      <c r="G17" s="9" t="s">
        <v>66</v>
      </c>
      <c r="H17" s="10">
        <v>46069</v>
      </c>
      <c r="I17" s="10" t="s">
        <v>25</v>
      </c>
      <c r="J17" s="9" t="s">
        <v>46</v>
      </c>
      <c r="K17" s="9"/>
      <c r="L17" s="11"/>
      <c r="M17" s="9"/>
      <c r="N17" s="10"/>
      <c r="O17" s="9" t="str">
        <f ca="1">IF(N17="","",IF(N17&lt;TODAY(),"Vencido","Próximo a vencer"))</f>
        <v/>
      </c>
      <c r="P17" s="9"/>
      <c r="Q17" s="9"/>
      <c r="R17" s="9"/>
      <c r="S17" s="9"/>
      <c r="T17" s="12"/>
      <c r="U17" s="9"/>
    </row>
    <row r="18" spans="1:21">
      <c r="A18" s="8" t="s">
        <v>37</v>
      </c>
      <c r="B18" s="8" t="s">
        <v>41</v>
      </c>
      <c r="C18" s="8" t="s">
        <v>58</v>
      </c>
      <c r="D18" s="8" t="s">
        <v>67</v>
      </c>
      <c r="E18" s="9"/>
      <c r="F18" s="9"/>
      <c r="G18" s="9"/>
      <c r="H18" s="10"/>
      <c r="I18" s="9" t="str">
        <f t="shared" ca="1" si="0"/>
        <v/>
      </c>
      <c r="J18" s="9"/>
      <c r="K18" s="14" t="s">
        <v>68</v>
      </c>
      <c r="L18" s="15" t="s">
        <v>69</v>
      </c>
      <c r="M18" s="16" t="s">
        <v>36</v>
      </c>
      <c r="N18" s="17">
        <v>46073</v>
      </c>
      <c r="O18" s="9" t="str">
        <f ca="1">IF(N18="","",IF(N18&lt;TODAY(),"Vencido","Próximo a vencer"))</f>
        <v>Vencido</v>
      </c>
      <c r="P18" s="9"/>
      <c r="Q18" s="9"/>
      <c r="R18" s="9"/>
      <c r="S18" s="9"/>
      <c r="T18" s="12"/>
      <c r="U18" s="9"/>
    </row>
    <row r="19" spans="1:21">
      <c r="A19" s="8" t="s">
        <v>37</v>
      </c>
      <c r="B19" s="8" t="s">
        <v>41</v>
      </c>
      <c r="C19" s="8" t="s">
        <v>58</v>
      </c>
      <c r="D19" s="8" t="s">
        <v>67</v>
      </c>
      <c r="E19" s="9"/>
      <c r="F19" s="9"/>
      <c r="G19" s="9"/>
      <c r="H19" s="10"/>
      <c r="I19" s="9" t="str">
        <f t="shared" ca="1" si="0"/>
        <v/>
      </c>
      <c r="J19" s="9"/>
      <c r="K19" s="14" t="s">
        <v>34</v>
      </c>
      <c r="L19" s="15" t="s">
        <v>70</v>
      </c>
      <c r="M19" s="16" t="s">
        <v>36</v>
      </c>
      <c r="N19" s="17">
        <v>46073</v>
      </c>
      <c r="O19" s="9" t="str">
        <f ca="1">IF(N19="","",IF(N19&lt;TODAY(),"Vencido","Próximo a vencer"))</f>
        <v>Vencido</v>
      </c>
      <c r="P19" s="9"/>
      <c r="Q19" s="9"/>
      <c r="R19" s="9"/>
      <c r="S19" s="9"/>
      <c r="T19" s="12"/>
      <c r="U19" s="9"/>
    </row>
    <row r="20" spans="1:21">
      <c r="A20" s="8" t="s">
        <v>37</v>
      </c>
      <c r="B20" s="8" t="s">
        <v>41</v>
      </c>
      <c r="C20" s="8" t="s">
        <v>58</v>
      </c>
      <c r="D20" s="8" t="s">
        <v>67</v>
      </c>
      <c r="E20" s="9"/>
      <c r="F20" s="9"/>
      <c r="G20" s="9"/>
      <c r="H20" s="10"/>
      <c r="I20" s="9" t="str">
        <f t="shared" ca="1" si="0"/>
        <v/>
      </c>
      <c r="J20" s="9"/>
      <c r="K20" s="14" t="s">
        <v>71</v>
      </c>
      <c r="L20" s="15" t="s">
        <v>72</v>
      </c>
      <c r="M20" s="16" t="s">
        <v>36</v>
      </c>
      <c r="N20" s="17">
        <v>46073</v>
      </c>
      <c r="O20" s="9" t="str">
        <f ca="1">IF(N20="","",IF(N20&lt;TODAY(),"Vencido","Próximo a vencer"))</f>
        <v>Vencido</v>
      </c>
      <c r="P20" s="9"/>
      <c r="Q20" s="9"/>
      <c r="R20" s="9"/>
      <c r="S20" s="9"/>
      <c r="T20" s="12"/>
      <c r="U20" s="9"/>
    </row>
    <row r="21" spans="1:21">
      <c r="A21" s="8" t="s">
        <v>37</v>
      </c>
      <c r="B21" s="8" t="s">
        <v>41</v>
      </c>
      <c r="C21" s="8" t="s">
        <v>58</v>
      </c>
      <c r="D21" s="8" t="s">
        <v>67</v>
      </c>
      <c r="E21" s="9"/>
      <c r="F21" s="9"/>
      <c r="G21" s="9"/>
      <c r="H21" s="10"/>
      <c r="I21" s="9" t="str">
        <f t="shared" ca="1" si="0"/>
        <v/>
      </c>
      <c r="J21" s="9"/>
      <c r="K21" s="14" t="s">
        <v>68</v>
      </c>
      <c r="L21" s="15" t="s">
        <v>73</v>
      </c>
      <c r="M21" s="16" t="s">
        <v>36</v>
      </c>
      <c r="N21" s="17">
        <v>46073</v>
      </c>
      <c r="O21" s="9" t="str">
        <f ca="1">IF(N21="","",IF(N21&lt;TODAY(),"Vencido","Próximo a vencer"))</f>
        <v>Vencido</v>
      </c>
      <c r="P21" s="9"/>
      <c r="Q21" s="9"/>
      <c r="R21" s="9"/>
      <c r="S21" s="9"/>
      <c r="T21" s="12"/>
      <c r="U21" s="9"/>
    </row>
    <row r="22" spans="1:21">
      <c r="A22" s="8" t="s">
        <v>37</v>
      </c>
      <c r="B22" s="8" t="s">
        <v>41</v>
      </c>
      <c r="C22" s="8" t="s">
        <v>58</v>
      </c>
      <c r="D22" s="8" t="s">
        <v>67</v>
      </c>
      <c r="E22" s="9"/>
      <c r="F22" s="9"/>
      <c r="G22" s="9"/>
      <c r="H22" s="10"/>
      <c r="I22" s="9" t="str">
        <f t="shared" ca="1" si="0"/>
        <v/>
      </c>
      <c r="J22" s="9"/>
      <c r="K22" s="14" t="s">
        <v>50</v>
      </c>
      <c r="L22" s="15" t="s">
        <v>74</v>
      </c>
      <c r="M22" s="16" t="s">
        <v>36</v>
      </c>
      <c r="N22" s="17">
        <v>46073</v>
      </c>
      <c r="O22" s="9" t="str">
        <f ca="1">IF(N22="","",IF(N22&lt;TODAY(),"Vencido","Próximo a vencer"))</f>
        <v>Vencido</v>
      </c>
      <c r="P22" s="9"/>
      <c r="Q22" s="9"/>
      <c r="R22" s="9"/>
      <c r="S22" s="9"/>
      <c r="T22" s="12"/>
      <c r="U22" s="9"/>
    </row>
    <row r="23" spans="1:21">
      <c r="A23" s="8" t="s">
        <v>37</v>
      </c>
      <c r="B23" s="8" t="s">
        <v>41</v>
      </c>
      <c r="C23" s="8" t="s">
        <v>58</v>
      </c>
      <c r="D23" s="8" t="s">
        <v>67</v>
      </c>
      <c r="E23" s="9"/>
      <c r="F23" s="9"/>
      <c r="G23" s="9"/>
      <c r="H23" s="10"/>
      <c r="I23" s="9" t="str">
        <f t="shared" ca="1" si="0"/>
        <v/>
      </c>
      <c r="J23" s="9"/>
      <c r="K23" s="14" t="s">
        <v>50</v>
      </c>
      <c r="L23" s="15" t="s">
        <v>75</v>
      </c>
      <c r="M23" s="16" t="s">
        <v>36</v>
      </c>
      <c r="N23" s="17">
        <v>46073</v>
      </c>
      <c r="O23" s="9" t="str">
        <f ca="1">IF(N23="","",IF(N23&lt;TODAY(),"Vencido","Próximo a vencer"))</f>
        <v>Vencido</v>
      </c>
      <c r="P23" s="9"/>
      <c r="Q23" s="9"/>
      <c r="R23" s="9"/>
      <c r="S23" s="9"/>
      <c r="T23" s="12"/>
      <c r="U23" s="9"/>
    </row>
    <row r="24" spans="1:21">
      <c r="A24" s="8" t="s">
        <v>37</v>
      </c>
      <c r="B24" s="8" t="s">
        <v>41</v>
      </c>
      <c r="C24" s="8" t="s">
        <v>58</v>
      </c>
      <c r="D24" s="8" t="s">
        <v>67</v>
      </c>
      <c r="E24" s="9"/>
      <c r="F24" s="9"/>
      <c r="G24" s="9"/>
      <c r="H24" s="10"/>
      <c r="I24" s="9" t="str">
        <f t="shared" ca="1" si="0"/>
        <v/>
      </c>
      <c r="J24" s="9"/>
      <c r="K24" s="14" t="s">
        <v>68</v>
      </c>
      <c r="L24" s="15" t="s">
        <v>76</v>
      </c>
      <c r="M24" s="16" t="s">
        <v>36</v>
      </c>
      <c r="N24" s="17">
        <v>46073</v>
      </c>
      <c r="O24" s="9" t="str">
        <f ca="1">IF(N24="","",IF(N24&lt;TODAY(),"Vencido","Próximo a vencer"))</f>
        <v>Vencido</v>
      </c>
      <c r="P24" s="9"/>
      <c r="Q24" s="9"/>
      <c r="R24" s="9"/>
      <c r="S24" s="9"/>
      <c r="T24" s="12"/>
      <c r="U24" s="9"/>
    </row>
    <row r="25" spans="1:21">
      <c r="A25" s="8" t="s">
        <v>37</v>
      </c>
      <c r="B25" s="8" t="s">
        <v>41</v>
      </c>
      <c r="C25" s="8" t="s">
        <v>58</v>
      </c>
      <c r="D25" s="8" t="s">
        <v>67</v>
      </c>
      <c r="E25" s="9"/>
      <c r="F25" s="9"/>
      <c r="G25" s="9"/>
      <c r="H25" s="10"/>
      <c r="I25" s="9" t="str">
        <f t="shared" ca="1" si="0"/>
        <v/>
      </c>
      <c r="J25" s="9"/>
      <c r="K25" s="14" t="s">
        <v>68</v>
      </c>
      <c r="L25" s="15" t="s">
        <v>77</v>
      </c>
      <c r="M25" s="16" t="s">
        <v>36</v>
      </c>
      <c r="N25" s="17">
        <v>46073</v>
      </c>
      <c r="O25" s="9" t="str">
        <f ca="1">IF(N25="","",IF(N25&lt;TODAY(),"Vencido","Próximo a vencer"))</f>
        <v>Vencido</v>
      </c>
      <c r="P25" s="9"/>
      <c r="Q25" s="9"/>
      <c r="R25" s="9"/>
      <c r="S25" s="9"/>
      <c r="T25" s="12"/>
      <c r="U25" s="9"/>
    </row>
    <row r="26" spans="1:21">
      <c r="A26" s="8" t="s">
        <v>37</v>
      </c>
      <c r="B26" s="8" t="s">
        <v>41</v>
      </c>
      <c r="C26" s="8" t="s">
        <v>58</v>
      </c>
      <c r="D26" s="8" t="s">
        <v>67</v>
      </c>
      <c r="E26" s="9"/>
      <c r="F26" s="9"/>
      <c r="G26" s="9"/>
      <c r="H26" s="10"/>
      <c r="I26" s="9" t="str">
        <f t="shared" ca="1" si="0"/>
        <v/>
      </c>
      <c r="J26" s="9"/>
      <c r="K26" s="14" t="s">
        <v>68</v>
      </c>
      <c r="L26" s="15" t="s">
        <v>78</v>
      </c>
      <c r="M26" s="16" t="s">
        <v>36</v>
      </c>
      <c r="N26" s="17">
        <v>46073</v>
      </c>
      <c r="O26" s="9" t="str">
        <f ca="1">IF(N26="","",IF(N26&lt;TODAY(),"Vencido","Próximo a vencer"))</f>
        <v>Vencido</v>
      </c>
      <c r="P26" s="9"/>
      <c r="Q26" s="9"/>
      <c r="R26" s="9"/>
      <c r="S26" s="9"/>
      <c r="T26" s="12"/>
      <c r="U26" s="9"/>
    </row>
    <row r="27" spans="1:21">
      <c r="A27" s="8" t="s">
        <v>37</v>
      </c>
      <c r="B27" s="8" t="s">
        <v>41</v>
      </c>
      <c r="C27" s="8" t="s">
        <v>58</v>
      </c>
      <c r="D27" s="8" t="s">
        <v>67</v>
      </c>
      <c r="E27" s="9"/>
      <c r="F27" s="9"/>
      <c r="G27" s="9"/>
      <c r="H27" s="10"/>
      <c r="I27" s="9" t="str">
        <f t="shared" ca="1" si="0"/>
        <v/>
      </c>
      <c r="J27" s="9"/>
      <c r="K27" s="14" t="s">
        <v>68</v>
      </c>
      <c r="L27" s="15" t="s">
        <v>79</v>
      </c>
      <c r="M27" s="16" t="s">
        <v>36</v>
      </c>
      <c r="N27" s="17">
        <v>46073</v>
      </c>
      <c r="O27" s="9" t="str">
        <f ca="1">IF(N27="","",IF(N27&lt;TODAY(),"Vencido","Próximo a vencer"))</f>
        <v>Vencido</v>
      </c>
      <c r="P27" s="9"/>
      <c r="Q27" s="9"/>
      <c r="R27" s="9"/>
      <c r="S27" s="9"/>
      <c r="T27" s="12"/>
      <c r="U27" s="9"/>
    </row>
    <row r="28" spans="1:21">
      <c r="A28" s="8" t="s">
        <v>37</v>
      </c>
      <c r="B28" s="8" t="s">
        <v>41</v>
      </c>
      <c r="C28" s="8" t="s">
        <v>58</v>
      </c>
      <c r="D28" s="8" t="s">
        <v>67</v>
      </c>
      <c r="E28" s="9"/>
      <c r="F28" s="9"/>
      <c r="G28" s="9"/>
      <c r="H28" s="10"/>
      <c r="I28" s="9" t="str">
        <f t="shared" ca="1" si="0"/>
        <v/>
      </c>
      <c r="J28" s="9"/>
      <c r="K28" s="14" t="s">
        <v>68</v>
      </c>
      <c r="L28" s="15" t="s">
        <v>80</v>
      </c>
      <c r="M28" s="16" t="s">
        <v>36</v>
      </c>
      <c r="N28" s="17">
        <v>46073</v>
      </c>
      <c r="O28" s="9" t="str">
        <f ca="1">IF(N28="","",IF(N28&lt;TODAY(),"Vencido","Próximo a vencer"))</f>
        <v>Vencido</v>
      </c>
      <c r="P28" s="9"/>
      <c r="Q28" s="9"/>
      <c r="R28" s="9"/>
      <c r="S28" s="9"/>
      <c r="T28" s="12"/>
      <c r="U28" s="9"/>
    </row>
    <row r="29" spans="1:21">
      <c r="A29" s="8" t="s">
        <v>37</v>
      </c>
      <c r="B29" s="8" t="s">
        <v>41</v>
      </c>
      <c r="C29" s="8" t="s">
        <v>58</v>
      </c>
      <c r="D29" s="8" t="s">
        <v>67</v>
      </c>
      <c r="E29" s="9"/>
      <c r="F29" s="9"/>
      <c r="G29" s="9"/>
      <c r="H29" s="10"/>
      <c r="I29" s="9" t="str">
        <f t="shared" ca="1" si="0"/>
        <v/>
      </c>
      <c r="J29" s="9"/>
      <c r="K29" s="14" t="s">
        <v>68</v>
      </c>
      <c r="L29" s="15" t="s">
        <v>81</v>
      </c>
      <c r="M29" s="16" t="s">
        <v>36</v>
      </c>
      <c r="N29" s="17">
        <v>46073</v>
      </c>
      <c r="O29" s="9" t="str">
        <f ca="1">IF(N29="","",IF(N29&lt;TODAY(),"Vencido","Próximo a vencer"))</f>
        <v>Vencido</v>
      </c>
      <c r="P29" s="9"/>
      <c r="Q29" s="9"/>
      <c r="R29" s="9"/>
      <c r="S29" s="9"/>
      <c r="T29" s="12"/>
      <c r="U29" s="9"/>
    </row>
    <row r="30" spans="1:21">
      <c r="A30" s="8" t="s">
        <v>37</v>
      </c>
      <c r="B30" s="8" t="s">
        <v>41</v>
      </c>
      <c r="C30" s="8" t="s">
        <v>58</v>
      </c>
      <c r="D30" s="8" t="s">
        <v>67</v>
      </c>
      <c r="E30" s="9"/>
      <c r="F30" s="9"/>
      <c r="G30" s="9"/>
      <c r="H30" s="10"/>
      <c r="I30" s="9" t="str">
        <f t="shared" ca="1" si="0"/>
        <v/>
      </c>
      <c r="J30" s="9"/>
      <c r="K30" s="14" t="s">
        <v>50</v>
      </c>
      <c r="L30" s="15" t="s">
        <v>82</v>
      </c>
      <c r="M30" s="16" t="s">
        <v>36</v>
      </c>
      <c r="N30" s="17">
        <v>46073</v>
      </c>
      <c r="O30" s="9" t="str">
        <f ca="1">IF(N30="","",IF(N30&lt;TODAY(),"Vencido","Próximo a vencer"))</f>
        <v>Vencido</v>
      </c>
      <c r="P30" s="9"/>
      <c r="Q30" s="9"/>
      <c r="R30" s="9"/>
      <c r="S30" s="9"/>
      <c r="T30" s="12"/>
      <c r="U30" s="9"/>
    </row>
    <row r="31" spans="1:21">
      <c r="A31" s="8" t="s">
        <v>37</v>
      </c>
      <c r="B31" s="8" t="s">
        <v>41</v>
      </c>
      <c r="C31" s="8" t="s">
        <v>58</v>
      </c>
      <c r="D31" s="8" t="s">
        <v>67</v>
      </c>
      <c r="E31" s="9"/>
      <c r="F31" s="9"/>
      <c r="G31" s="9"/>
      <c r="H31" s="10"/>
      <c r="I31" s="9" t="str">
        <f t="shared" ca="1" si="0"/>
        <v/>
      </c>
      <c r="J31" s="9"/>
      <c r="K31" s="14" t="s">
        <v>83</v>
      </c>
      <c r="L31" s="15" t="s">
        <v>84</v>
      </c>
      <c r="M31" s="16" t="s">
        <v>36</v>
      </c>
      <c r="N31" s="17">
        <v>46073</v>
      </c>
      <c r="O31" s="9" t="str">
        <f ca="1">IF(N31="","",IF(N31&lt;TODAY(),"Vencido","Próximo a vencer"))</f>
        <v>Vencido</v>
      </c>
      <c r="P31" s="9"/>
      <c r="Q31" s="9"/>
      <c r="R31" s="9"/>
      <c r="S31" s="9"/>
      <c r="T31" s="12"/>
      <c r="U31" s="9"/>
    </row>
    <row r="32" spans="1:21">
      <c r="A32" s="8" t="s">
        <v>37</v>
      </c>
      <c r="B32" s="8" t="s">
        <v>41</v>
      </c>
      <c r="C32" s="8" t="s">
        <v>58</v>
      </c>
      <c r="D32" s="8" t="s">
        <v>67</v>
      </c>
      <c r="E32" s="9"/>
      <c r="F32" s="9"/>
      <c r="G32" s="9"/>
      <c r="H32" s="10"/>
      <c r="I32" s="9" t="str">
        <f t="shared" ca="1" si="0"/>
        <v/>
      </c>
      <c r="J32" s="9"/>
      <c r="K32" s="14" t="s">
        <v>68</v>
      </c>
      <c r="L32" s="15" t="s">
        <v>85</v>
      </c>
      <c r="M32" s="16" t="s">
        <v>36</v>
      </c>
      <c r="N32" s="17">
        <v>46073</v>
      </c>
      <c r="O32" s="9" t="str">
        <f ca="1">IF(N32="","",IF(N32&lt;TODAY(),"Vencido","Próximo a vencer"))</f>
        <v>Vencido</v>
      </c>
      <c r="P32" s="9"/>
      <c r="Q32" s="9"/>
      <c r="R32" s="9"/>
      <c r="S32" s="9"/>
      <c r="T32" s="12"/>
      <c r="U32" s="9"/>
    </row>
    <row r="33" spans="1:21">
      <c r="A33" s="8" t="s">
        <v>37</v>
      </c>
      <c r="B33" s="8" t="s">
        <v>41</v>
      </c>
      <c r="C33" s="8" t="s">
        <v>58</v>
      </c>
      <c r="D33" s="8" t="s">
        <v>67</v>
      </c>
      <c r="E33" s="9"/>
      <c r="F33" s="9"/>
      <c r="G33" s="9"/>
      <c r="H33" s="10"/>
      <c r="I33" s="9" t="str">
        <f t="shared" ca="1" si="0"/>
        <v/>
      </c>
      <c r="J33" s="9"/>
      <c r="K33" s="14" t="s">
        <v>68</v>
      </c>
      <c r="L33" s="15" t="s">
        <v>86</v>
      </c>
      <c r="M33" s="16" t="s">
        <v>52</v>
      </c>
      <c r="N33" s="18">
        <v>46066</v>
      </c>
      <c r="O33" s="9" t="str">
        <f ca="1">IF(N33="","",IF(N33&lt;TODAY(),"Vencido","Próximo a vencer"))</f>
        <v>Vencido</v>
      </c>
      <c r="P33" s="9"/>
      <c r="Q33" s="9"/>
      <c r="R33" s="9"/>
      <c r="S33" s="9"/>
      <c r="T33" s="12"/>
      <c r="U33" s="9"/>
    </row>
    <row r="34" spans="1:21">
      <c r="A34" s="8" t="s">
        <v>37</v>
      </c>
      <c r="B34" s="8" t="s">
        <v>41</v>
      </c>
      <c r="C34" s="8" t="s">
        <v>58</v>
      </c>
      <c r="D34" s="8" t="s">
        <v>67</v>
      </c>
      <c r="E34" s="9"/>
      <c r="F34" s="9"/>
      <c r="G34" s="9"/>
      <c r="H34" s="10"/>
      <c r="I34" s="9" t="str">
        <f t="shared" ca="1" si="0"/>
        <v/>
      </c>
      <c r="J34" s="9"/>
      <c r="K34" s="14" t="s">
        <v>68</v>
      </c>
      <c r="L34" s="15" t="s">
        <v>87</v>
      </c>
      <c r="M34" s="16" t="s">
        <v>52</v>
      </c>
      <c r="N34" s="18">
        <v>46066</v>
      </c>
      <c r="O34" s="9" t="str">
        <f ca="1">IF(N34="","",IF(N34&lt;TODAY(),"Vencido","Próximo a vencer"))</f>
        <v>Vencido</v>
      </c>
      <c r="P34" s="9"/>
      <c r="Q34" s="9"/>
      <c r="R34" s="9"/>
      <c r="S34" s="9"/>
      <c r="T34" s="12"/>
      <c r="U34" s="9"/>
    </row>
    <row r="35" spans="1:21">
      <c r="A35" s="8" t="s">
        <v>37</v>
      </c>
      <c r="B35" s="8" t="s">
        <v>41</v>
      </c>
      <c r="C35" s="8" t="s">
        <v>42</v>
      </c>
      <c r="D35" s="8" t="s">
        <v>88</v>
      </c>
      <c r="E35" s="9"/>
      <c r="F35" s="9"/>
      <c r="G35" s="9"/>
      <c r="H35" s="10"/>
      <c r="I35" s="9" t="str">
        <f t="shared" ca="1" si="0"/>
        <v/>
      </c>
      <c r="J35" s="9"/>
      <c r="K35" s="9"/>
      <c r="L35" s="11"/>
      <c r="M35" s="9"/>
      <c r="N35" s="18"/>
      <c r="O35" s="9" t="str">
        <f ca="1">IF(N35="","",IF(N35&lt;TODAY(),"Vencido","Próximo a vencer"))</f>
        <v/>
      </c>
      <c r="P35" s="9"/>
      <c r="Q35" s="9"/>
      <c r="R35" s="9"/>
      <c r="S35" s="9"/>
      <c r="T35" s="12"/>
      <c r="U35" s="9"/>
    </row>
    <row r="36" spans="1:21">
      <c r="A36" s="8" t="s">
        <v>29</v>
      </c>
      <c r="B36" s="8" t="s">
        <v>47</v>
      </c>
      <c r="C36" s="8" t="s">
        <v>64</v>
      </c>
      <c r="D36" s="8" t="s">
        <v>89</v>
      </c>
      <c r="E36" s="9"/>
      <c r="F36" s="9"/>
      <c r="G36" s="9"/>
      <c r="H36" s="10"/>
      <c r="I36" s="9" t="str">
        <f t="shared" ca="1" si="0"/>
        <v/>
      </c>
      <c r="J36" s="9"/>
      <c r="K36" s="9"/>
      <c r="L36" s="11"/>
      <c r="M36" s="9"/>
      <c r="N36" s="10"/>
      <c r="O36" s="9" t="str">
        <f ca="1">IF(N36="","",IF(N36&lt;TODAY(),"Vencido","Próximo a vencer"))</f>
        <v/>
      </c>
      <c r="P36" s="9"/>
      <c r="Q36" s="9"/>
      <c r="R36" s="9"/>
      <c r="S36" s="9"/>
      <c r="T36" s="12"/>
      <c r="U36" s="9"/>
    </row>
    <row r="37" spans="1:21">
      <c r="A37" s="8" t="s">
        <v>60</v>
      </c>
      <c r="B37" s="8" t="s">
        <v>90</v>
      </c>
      <c r="C37" s="8" t="s">
        <v>91</v>
      </c>
      <c r="D37" s="8" t="s">
        <v>91</v>
      </c>
      <c r="E37" s="9"/>
      <c r="F37" s="9"/>
      <c r="G37" s="9"/>
      <c r="H37" s="10"/>
      <c r="I37" s="9" t="str">
        <f t="shared" ca="1" si="0"/>
        <v/>
      </c>
      <c r="J37" s="9"/>
      <c r="K37" s="9"/>
      <c r="L37" s="11"/>
      <c r="M37" s="9"/>
      <c r="N37" s="10"/>
      <c r="O37" s="9" t="str">
        <f ca="1">IF(N37="","",IF(N37&lt;TODAY(),"Vencido","Próximo a vencer"))</f>
        <v/>
      </c>
      <c r="P37" s="9"/>
      <c r="Q37" s="9"/>
      <c r="R37" s="9"/>
      <c r="S37" s="9"/>
      <c r="T37" s="12"/>
      <c r="U37" s="9"/>
    </row>
    <row r="38" spans="1:21" ht="24.75">
      <c r="A38" s="8" t="s">
        <v>37</v>
      </c>
      <c r="B38" s="8" t="s">
        <v>41</v>
      </c>
      <c r="C38" s="8" t="s">
        <v>92</v>
      </c>
      <c r="D38" s="13" t="s">
        <v>93</v>
      </c>
      <c r="E38" s="9"/>
      <c r="F38" s="9"/>
      <c r="G38" s="9"/>
      <c r="H38" s="10"/>
      <c r="I38" s="9" t="str">
        <f t="shared" ca="1" si="0"/>
        <v/>
      </c>
      <c r="J38" s="9"/>
      <c r="K38" s="9"/>
      <c r="L38" s="11"/>
      <c r="M38" s="9"/>
      <c r="N38" s="10"/>
      <c r="O38" s="9" t="str">
        <f ca="1">IF(N38="","",IF(N38&lt;TODAY(),"Vencido","Próximo a vencer"))</f>
        <v/>
      </c>
      <c r="P38" s="9"/>
      <c r="Q38" s="9"/>
      <c r="R38" s="9"/>
      <c r="S38" s="9"/>
      <c r="T38" s="12"/>
      <c r="U38" s="9"/>
    </row>
    <row r="39" spans="1:21">
      <c r="A39" s="8" t="s">
        <v>29</v>
      </c>
      <c r="B39" s="8" t="s">
        <v>21</v>
      </c>
      <c r="C39" s="8" t="s">
        <v>94</v>
      </c>
      <c r="D39" s="8" t="s">
        <v>94</v>
      </c>
      <c r="E39" s="9">
        <v>454</v>
      </c>
      <c r="F39" s="9">
        <v>1853</v>
      </c>
      <c r="G39" s="9" t="s">
        <v>95</v>
      </c>
      <c r="H39" s="10">
        <v>46080</v>
      </c>
      <c r="I39" s="10" t="s">
        <v>25</v>
      </c>
      <c r="J39" s="10" t="s">
        <v>26</v>
      </c>
      <c r="K39" s="9"/>
      <c r="L39" s="11"/>
      <c r="M39" s="9"/>
      <c r="N39" s="10"/>
      <c r="O39" s="9" t="str">
        <f ca="1">IF(N39="","",IF(N39&lt;TODAY(),"Vencido","Próximo a vencer"))</f>
        <v/>
      </c>
      <c r="P39" s="9"/>
      <c r="Q39" s="9"/>
      <c r="R39" s="9"/>
      <c r="S39" s="9"/>
      <c r="T39" s="12"/>
      <c r="U39" s="9"/>
    </row>
    <row r="40" spans="1:21">
      <c r="A40" s="8" t="s">
        <v>29</v>
      </c>
      <c r="B40" s="8" t="s">
        <v>21</v>
      </c>
      <c r="C40" s="8" t="s">
        <v>94</v>
      </c>
      <c r="D40" s="8" t="s">
        <v>94</v>
      </c>
      <c r="E40" s="9">
        <v>454</v>
      </c>
      <c r="F40" s="9">
        <v>1852</v>
      </c>
      <c r="G40" s="9" t="s">
        <v>95</v>
      </c>
      <c r="H40" s="10">
        <v>46022</v>
      </c>
      <c r="I40" s="10" t="s">
        <v>25</v>
      </c>
      <c r="J40" s="10" t="s">
        <v>26</v>
      </c>
      <c r="K40" s="9"/>
      <c r="L40" s="15"/>
      <c r="M40" s="9"/>
      <c r="N40" s="10"/>
      <c r="O40" s="9" t="str">
        <f ca="1">IF(N40="","",IF(N40&lt;TODAY(),"Vencido","Próximo a vencer"))</f>
        <v/>
      </c>
      <c r="P40" s="9"/>
      <c r="Q40" s="9"/>
      <c r="R40" s="9"/>
      <c r="S40" s="9"/>
      <c r="T40" s="12"/>
      <c r="U40" s="9"/>
    </row>
    <row r="41" spans="1:21">
      <c r="A41" s="8" t="s">
        <v>29</v>
      </c>
      <c r="B41" s="8" t="s">
        <v>21</v>
      </c>
      <c r="C41" s="8" t="s">
        <v>94</v>
      </c>
      <c r="D41" s="8" t="s">
        <v>94</v>
      </c>
      <c r="E41" s="9">
        <v>453</v>
      </c>
      <c r="F41" s="9">
        <v>1842</v>
      </c>
      <c r="G41" s="9" t="s">
        <v>96</v>
      </c>
      <c r="H41" s="10">
        <v>46052</v>
      </c>
      <c r="I41" s="10" t="s">
        <v>25</v>
      </c>
      <c r="J41" s="10" t="s">
        <v>26</v>
      </c>
      <c r="K41" s="9"/>
      <c r="L41" s="15"/>
      <c r="M41" s="9"/>
      <c r="N41" s="10"/>
      <c r="O41" s="9" t="str">
        <f ca="1">IF(N41="","",IF(N41&lt;TODAY(),"Vencido","Próximo a vencer"))</f>
        <v/>
      </c>
      <c r="P41" s="9"/>
      <c r="Q41" s="9"/>
      <c r="R41" s="9"/>
      <c r="S41" s="9"/>
      <c r="T41" s="12"/>
      <c r="U41" s="9"/>
    </row>
    <row r="42" spans="1:21">
      <c r="A42" s="8" t="s">
        <v>29</v>
      </c>
      <c r="B42" s="8" t="s">
        <v>21</v>
      </c>
      <c r="C42" s="8" t="s">
        <v>94</v>
      </c>
      <c r="D42" s="8" t="s">
        <v>94</v>
      </c>
      <c r="E42" s="9">
        <v>441</v>
      </c>
      <c r="F42" s="9">
        <v>1793</v>
      </c>
      <c r="G42" s="9" t="s">
        <v>97</v>
      </c>
      <c r="H42" s="10">
        <v>46081</v>
      </c>
      <c r="I42" s="10" t="s">
        <v>25</v>
      </c>
      <c r="J42" s="10" t="s">
        <v>98</v>
      </c>
      <c r="K42" s="14"/>
      <c r="L42" s="15"/>
      <c r="M42" s="9"/>
      <c r="N42" s="10"/>
      <c r="O42" s="9" t="str">
        <f ca="1">IF(N42="","",IF(N42&lt;TODAY(),"Vencido","Próximo a vencer"))</f>
        <v/>
      </c>
      <c r="P42" s="9"/>
      <c r="Q42" s="9"/>
      <c r="R42" s="9"/>
      <c r="S42" s="9"/>
      <c r="T42" s="12"/>
      <c r="U42" s="9"/>
    </row>
    <row r="43" spans="1:21">
      <c r="A43" s="8" t="s">
        <v>29</v>
      </c>
      <c r="B43" s="8" t="s">
        <v>21</v>
      </c>
      <c r="C43" s="8" t="s">
        <v>94</v>
      </c>
      <c r="D43" s="8" t="s">
        <v>94</v>
      </c>
      <c r="E43" s="9">
        <v>419</v>
      </c>
      <c r="F43" s="9">
        <v>1661</v>
      </c>
      <c r="G43" s="9" t="s">
        <v>32</v>
      </c>
      <c r="H43" s="10">
        <v>45930</v>
      </c>
      <c r="I43" s="10" t="s">
        <v>25</v>
      </c>
      <c r="J43" s="10" t="s">
        <v>33</v>
      </c>
      <c r="K43" s="14"/>
      <c r="L43" s="15"/>
      <c r="M43" s="9"/>
      <c r="N43" s="10"/>
      <c r="O43" s="9" t="str">
        <f ca="1">IF(N43="","",IF(N43&lt;TODAY(),"Vencido","Próximo a vencer"))</f>
        <v/>
      </c>
      <c r="P43" s="9"/>
      <c r="Q43" s="9"/>
      <c r="R43" s="9"/>
      <c r="S43" s="9"/>
      <c r="T43" s="12"/>
      <c r="U43" s="9"/>
    </row>
    <row r="44" spans="1:21">
      <c r="A44" s="8" t="s">
        <v>29</v>
      </c>
      <c r="B44" s="8" t="s">
        <v>21</v>
      </c>
      <c r="C44" s="8" t="s">
        <v>94</v>
      </c>
      <c r="D44" s="8" t="s">
        <v>94</v>
      </c>
      <c r="E44" s="9">
        <v>419</v>
      </c>
      <c r="F44" s="9">
        <v>1662</v>
      </c>
      <c r="G44" s="9" t="s">
        <v>32</v>
      </c>
      <c r="H44" s="10">
        <v>45930</v>
      </c>
      <c r="I44" s="10" t="s">
        <v>25</v>
      </c>
      <c r="J44" s="10" t="s">
        <v>33</v>
      </c>
      <c r="K44" s="14"/>
      <c r="L44" s="15"/>
      <c r="M44" s="9"/>
      <c r="N44" s="10"/>
      <c r="O44" s="9" t="str">
        <f ca="1">IF(N44="","",IF(N44&lt;TODAY(),"Vencido","Próximo a vencer"))</f>
        <v/>
      </c>
      <c r="P44" s="9"/>
      <c r="Q44" s="9"/>
      <c r="R44" s="9"/>
      <c r="S44" s="9"/>
      <c r="T44" s="12"/>
      <c r="U44" s="9"/>
    </row>
    <row r="45" spans="1:21">
      <c r="A45" s="8" t="s">
        <v>29</v>
      </c>
      <c r="B45" s="8" t="s">
        <v>21</v>
      </c>
      <c r="C45" s="8" t="s">
        <v>94</v>
      </c>
      <c r="D45" s="8" t="s">
        <v>94</v>
      </c>
      <c r="E45" s="9">
        <v>419</v>
      </c>
      <c r="F45" s="9">
        <v>1664</v>
      </c>
      <c r="G45" s="9" t="s">
        <v>32</v>
      </c>
      <c r="H45" s="10">
        <v>45930</v>
      </c>
      <c r="I45" s="10" t="s">
        <v>25</v>
      </c>
      <c r="J45" s="10" t="s">
        <v>33</v>
      </c>
      <c r="K45" s="9"/>
      <c r="L45" s="11"/>
      <c r="M45" s="9"/>
      <c r="N45" s="10"/>
      <c r="O45" s="9" t="str">
        <f ca="1">IF(N45="","",IF(N45&lt;TODAY(),"Vencido","Próximo a vencer"))</f>
        <v/>
      </c>
      <c r="P45" s="9"/>
      <c r="Q45" s="9"/>
      <c r="R45" s="9"/>
      <c r="S45" s="9"/>
      <c r="T45" s="12"/>
      <c r="U45" s="9"/>
    </row>
    <row r="46" spans="1:21">
      <c r="A46" s="8" t="s">
        <v>29</v>
      </c>
      <c r="B46" s="8" t="s">
        <v>21</v>
      </c>
      <c r="C46" s="8" t="s">
        <v>94</v>
      </c>
      <c r="D46" s="8" t="s">
        <v>94</v>
      </c>
      <c r="E46" s="9">
        <v>420</v>
      </c>
      <c r="F46" s="9">
        <v>1667</v>
      </c>
      <c r="G46" s="9" t="s">
        <v>99</v>
      </c>
      <c r="H46" s="10">
        <v>45898</v>
      </c>
      <c r="I46" s="10" t="s">
        <v>25</v>
      </c>
      <c r="J46" s="10" t="s">
        <v>33</v>
      </c>
      <c r="K46" s="14"/>
      <c r="L46" s="15"/>
      <c r="M46" s="9"/>
      <c r="N46" s="10"/>
      <c r="O46" s="9" t="str">
        <f ca="1">IF(N46="","",IF(N46&lt;TODAY(),"Vencido","Próximo a vencer"))</f>
        <v/>
      </c>
      <c r="P46" s="9"/>
      <c r="Q46" s="9"/>
      <c r="R46" s="9"/>
      <c r="S46" s="9"/>
      <c r="T46" s="12"/>
      <c r="U46" s="9"/>
    </row>
    <row r="47" spans="1:21">
      <c r="A47" s="8" t="s">
        <v>29</v>
      </c>
      <c r="B47" s="8" t="s">
        <v>21</v>
      </c>
      <c r="C47" s="8" t="s">
        <v>94</v>
      </c>
      <c r="D47" s="8" t="s">
        <v>94</v>
      </c>
      <c r="E47" s="9">
        <v>441</v>
      </c>
      <c r="F47" s="9">
        <v>1792</v>
      </c>
      <c r="G47" s="9" t="s">
        <v>97</v>
      </c>
      <c r="H47" s="10">
        <v>46081</v>
      </c>
      <c r="I47" s="10" t="s">
        <v>25</v>
      </c>
      <c r="J47" s="10" t="s">
        <v>98</v>
      </c>
      <c r="K47" s="14"/>
      <c r="L47" s="15"/>
      <c r="M47" s="9"/>
      <c r="N47" s="10"/>
      <c r="O47" s="9" t="str">
        <f ca="1">IF(N47="","",IF(N47&lt;TODAY(),"Vencido","Próximo a vencer"))</f>
        <v/>
      </c>
      <c r="P47" s="9"/>
      <c r="Q47" s="9"/>
      <c r="R47" s="9"/>
      <c r="S47" s="9"/>
      <c r="T47" s="12"/>
      <c r="U47" s="9"/>
    </row>
    <row r="48" spans="1:21">
      <c r="A48" s="8" t="s">
        <v>29</v>
      </c>
      <c r="B48" s="8" t="s">
        <v>21</v>
      </c>
      <c r="C48" s="8" t="s">
        <v>94</v>
      </c>
      <c r="D48" s="8" t="s">
        <v>94</v>
      </c>
      <c r="E48" s="9">
        <v>426</v>
      </c>
      <c r="F48" s="9">
        <v>1694</v>
      </c>
      <c r="G48" s="9" t="s">
        <v>100</v>
      </c>
      <c r="H48" s="10">
        <v>45926</v>
      </c>
      <c r="I48" s="10" t="s">
        <v>25</v>
      </c>
      <c r="J48" s="10" t="s">
        <v>28</v>
      </c>
      <c r="K48" s="9"/>
      <c r="L48" s="11"/>
      <c r="M48" s="9"/>
      <c r="N48" s="10"/>
      <c r="O48" s="9" t="str">
        <f ca="1">IF(N48="","",IF(N48&lt;TODAY(),"Vencido","Próximo a vencer"))</f>
        <v/>
      </c>
      <c r="P48" s="9"/>
      <c r="Q48" s="9"/>
      <c r="R48" s="9"/>
      <c r="S48" s="9"/>
      <c r="T48" s="12"/>
      <c r="U48" s="9"/>
    </row>
    <row r="49" spans="1:21">
      <c r="A49" s="8" t="s">
        <v>20</v>
      </c>
      <c r="B49" s="8" t="s">
        <v>21</v>
      </c>
      <c r="C49" s="8" t="s">
        <v>101</v>
      </c>
      <c r="D49" s="8" t="s">
        <v>101</v>
      </c>
      <c r="E49" s="9">
        <v>452</v>
      </c>
      <c r="F49" s="9">
        <v>1837</v>
      </c>
      <c r="G49" s="9" t="s">
        <v>102</v>
      </c>
      <c r="H49" s="10">
        <v>46006</v>
      </c>
      <c r="I49" s="10" t="s">
        <v>25</v>
      </c>
      <c r="J49" s="9" t="s">
        <v>26</v>
      </c>
      <c r="K49" s="9" t="s">
        <v>68</v>
      </c>
      <c r="L49" s="11" t="s">
        <v>103</v>
      </c>
      <c r="M49" s="9" t="s">
        <v>36</v>
      </c>
      <c r="N49" s="17">
        <v>46097</v>
      </c>
      <c r="O49" s="9" t="str">
        <f ca="1">IF(N49="","",IF(N49&lt;TODAY(),"Vencido","Próximo a vencer"))</f>
        <v>Próximo a vencer</v>
      </c>
      <c r="P49" s="9"/>
      <c r="Q49" s="9"/>
      <c r="R49" s="9"/>
      <c r="S49" s="9"/>
      <c r="T49" s="12"/>
      <c r="U49" s="9"/>
    </row>
    <row r="50" spans="1:21">
      <c r="A50" s="8" t="s">
        <v>20</v>
      </c>
      <c r="B50" s="8" t="s">
        <v>21</v>
      </c>
      <c r="C50" s="8" t="s">
        <v>101</v>
      </c>
      <c r="D50" s="8" t="s">
        <v>101</v>
      </c>
      <c r="E50" s="9">
        <v>452</v>
      </c>
      <c r="F50" s="9">
        <v>1836</v>
      </c>
      <c r="G50" s="9" t="s">
        <v>102</v>
      </c>
      <c r="H50" s="10">
        <v>46022</v>
      </c>
      <c r="I50" s="10" t="s">
        <v>25</v>
      </c>
      <c r="J50" s="9" t="s">
        <v>26</v>
      </c>
      <c r="K50" s="9" t="s">
        <v>68</v>
      </c>
      <c r="L50" s="15" t="s">
        <v>104</v>
      </c>
      <c r="M50" s="9" t="s">
        <v>36</v>
      </c>
      <c r="N50" s="17">
        <v>46097</v>
      </c>
      <c r="O50" s="9" t="str">
        <f ca="1">IF(N50="","",IF(N50&lt;TODAY(),"Vencido","Próximo a vencer"))</f>
        <v>Próximo a vencer</v>
      </c>
      <c r="P50" s="9"/>
      <c r="Q50" s="9"/>
      <c r="R50" s="9"/>
      <c r="S50" s="9"/>
      <c r="T50" s="12"/>
      <c r="U50" s="9"/>
    </row>
    <row r="51" spans="1:21">
      <c r="A51" s="8" t="s">
        <v>29</v>
      </c>
      <c r="B51" s="8" t="s">
        <v>30</v>
      </c>
      <c r="C51" s="8" t="s">
        <v>105</v>
      </c>
      <c r="D51" s="13" t="s">
        <v>106</v>
      </c>
      <c r="E51" s="9">
        <v>418</v>
      </c>
      <c r="F51" s="9">
        <v>1656</v>
      </c>
      <c r="G51" s="9" t="s">
        <v>107</v>
      </c>
      <c r="H51" s="10">
        <v>46079</v>
      </c>
      <c r="I51" s="10" t="s">
        <v>25</v>
      </c>
      <c r="J51" s="9" t="s">
        <v>108</v>
      </c>
      <c r="K51" s="9" t="s">
        <v>50</v>
      </c>
      <c r="L51" s="15" t="s">
        <v>109</v>
      </c>
      <c r="M51" s="16" t="s">
        <v>36</v>
      </c>
      <c r="N51" s="17">
        <v>46081</v>
      </c>
      <c r="O51" s="9" t="str">
        <f ca="1">IF(N51="","",IF(N51&lt;TODAY(),"Vencido","Próximo a vencer"))</f>
        <v>Vencido</v>
      </c>
      <c r="P51" s="9"/>
      <c r="Q51" s="9"/>
      <c r="R51" s="9"/>
      <c r="S51" s="9"/>
      <c r="T51" s="12"/>
      <c r="U51" s="9"/>
    </row>
    <row r="52" spans="1:21">
      <c r="A52" s="8" t="s">
        <v>29</v>
      </c>
      <c r="B52" s="8" t="s">
        <v>30</v>
      </c>
      <c r="C52" s="8" t="s">
        <v>105</v>
      </c>
      <c r="D52" s="13" t="s">
        <v>106</v>
      </c>
      <c r="E52" s="9">
        <v>418</v>
      </c>
      <c r="F52" s="9">
        <v>1657</v>
      </c>
      <c r="G52" s="9" t="s">
        <v>107</v>
      </c>
      <c r="H52" s="10">
        <v>46081</v>
      </c>
      <c r="I52" s="10" t="s">
        <v>25</v>
      </c>
      <c r="J52" s="9" t="s">
        <v>108</v>
      </c>
      <c r="K52" s="9" t="s">
        <v>34</v>
      </c>
      <c r="L52" s="15" t="s">
        <v>110</v>
      </c>
      <c r="M52" s="16" t="s">
        <v>36</v>
      </c>
      <c r="N52" s="17">
        <v>46111</v>
      </c>
      <c r="O52" s="9" t="str">
        <f ca="1">IF(N52="","",IF(N52&lt;TODAY(),"Vencido","Próximo a vencer"))</f>
        <v>Próximo a vencer</v>
      </c>
      <c r="P52" s="9"/>
      <c r="Q52" s="9"/>
      <c r="R52" s="9"/>
      <c r="S52" s="9"/>
      <c r="T52" s="12"/>
      <c r="U52" s="9"/>
    </row>
    <row r="53" spans="1:21">
      <c r="A53" s="8" t="s">
        <v>29</v>
      </c>
      <c r="B53" s="8" t="s">
        <v>30</v>
      </c>
      <c r="C53" s="8" t="s">
        <v>105</v>
      </c>
      <c r="D53" s="13" t="s">
        <v>106</v>
      </c>
      <c r="E53" s="9">
        <v>433</v>
      </c>
      <c r="F53" s="9">
        <v>1763</v>
      </c>
      <c r="G53" s="9" t="s">
        <v>111</v>
      </c>
      <c r="H53" s="10">
        <v>46081</v>
      </c>
      <c r="I53" s="10" t="s">
        <v>25</v>
      </c>
      <c r="J53" s="9" t="s">
        <v>108</v>
      </c>
      <c r="K53" s="9" t="s">
        <v>34</v>
      </c>
      <c r="L53" s="11" t="s">
        <v>112</v>
      </c>
      <c r="M53" s="16" t="s">
        <v>36</v>
      </c>
      <c r="N53" s="17">
        <v>46111</v>
      </c>
      <c r="O53" s="9" t="str">
        <f ca="1">IF(N53="","",IF(N53&lt;TODAY(),"Vencido","Próximo a vencer"))</f>
        <v>Próximo a vencer</v>
      </c>
      <c r="P53" s="9"/>
      <c r="Q53" s="9"/>
      <c r="R53" s="9"/>
      <c r="S53" s="9"/>
      <c r="T53" s="12"/>
      <c r="U53" s="9"/>
    </row>
    <row r="54" spans="1:21" ht="24.75">
      <c r="A54" s="8" t="s">
        <v>29</v>
      </c>
      <c r="B54" s="8" t="s">
        <v>47</v>
      </c>
      <c r="C54" s="8" t="s">
        <v>48</v>
      </c>
      <c r="D54" s="13" t="s">
        <v>113</v>
      </c>
      <c r="E54" s="9"/>
      <c r="F54" s="9"/>
      <c r="G54" s="9"/>
      <c r="H54" s="10"/>
      <c r="I54" s="9"/>
      <c r="J54" s="9"/>
      <c r="K54" s="9"/>
      <c r="L54" s="15"/>
      <c r="M54" s="9"/>
      <c r="N54" s="10"/>
      <c r="O54" s="9" t="str">
        <f ca="1">IF(N54="","",IF(N54&lt;TODAY(),"Vencido","Próximo a vencer"))</f>
        <v/>
      </c>
      <c r="P54" s="9"/>
      <c r="Q54" s="9"/>
      <c r="R54" s="9"/>
      <c r="S54" s="9"/>
      <c r="T54" s="12"/>
      <c r="U54" s="9"/>
    </row>
    <row r="55" spans="1:21">
      <c r="A55" s="8" t="s">
        <v>37</v>
      </c>
      <c r="B55" s="8" t="s">
        <v>41</v>
      </c>
      <c r="C55" s="8" t="s">
        <v>114</v>
      </c>
      <c r="D55" s="13" t="s">
        <v>115</v>
      </c>
      <c r="E55" s="9"/>
      <c r="F55" s="9"/>
      <c r="G55" s="9"/>
      <c r="H55" s="10"/>
      <c r="I55" s="9"/>
      <c r="J55" s="9"/>
      <c r="K55" s="9" t="s">
        <v>116</v>
      </c>
      <c r="L55" s="15" t="s">
        <v>117</v>
      </c>
      <c r="M55" s="16" t="s">
        <v>36</v>
      </c>
      <c r="N55" s="17">
        <v>46080</v>
      </c>
      <c r="O55" s="9" t="str">
        <f ca="1">IF(N55="","",IF(N55&lt;TODAY(),"Vencido","Próximo a vencer"))</f>
        <v>Vencido</v>
      </c>
      <c r="P55" s="9"/>
      <c r="Q55" s="9"/>
      <c r="R55" s="9"/>
      <c r="S55" s="9"/>
      <c r="T55" s="12"/>
      <c r="U55" s="9"/>
    </row>
    <row r="56" spans="1:21">
      <c r="A56" s="8" t="s">
        <v>37</v>
      </c>
      <c r="B56" s="8" t="s">
        <v>41</v>
      </c>
      <c r="C56" s="8" t="s">
        <v>114</v>
      </c>
      <c r="D56" s="13" t="s">
        <v>115</v>
      </c>
      <c r="E56" s="9"/>
      <c r="F56" s="9"/>
      <c r="G56" s="9"/>
      <c r="H56" s="10"/>
      <c r="I56" s="9" t="str">
        <f t="shared" ca="1" si="0"/>
        <v/>
      </c>
      <c r="J56" s="9"/>
      <c r="K56" s="9" t="s">
        <v>34</v>
      </c>
      <c r="L56" s="11" t="s">
        <v>118</v>
      </c>
      <c r="M56" s="16" t="s">
        <v>36</v>
      </c>
      <c r="N56" s="17">
        <v>46080</v>
      </c>
      <c r="O56" s="9" t="str">
        <f ca="1">IF(N56="","",IF(N56&lt;TODAY(),"Vencido","Próximo a vencer"))</f>
        <v>Vencido</v>
      </c>
      <c r="P56" s="9"/>
      <c r="Q56" s="9"/>
      <c r="R56" s="9"/>
      <c r="S56" s="9"/>
      <c r="T56" s="12"/>
      <c r="U56" s="9"/>
    </row>
    <row r="57" spans="1:21">
      <c r="A57" s="8" t="s">
        <v>20</v>
      </c>
      <c r="B57" s="8" t="s">
        <v>21</v>
      </c>
      <c r="C57" s="8" t="s">
        <v>22</v>
      </c>
      <c r="D57" s="8" t="s">
        <v>119</v>
      </c>
      <c r="E57" s="9">
        <v>450</v>
      </c>
      <c r="F57" s="9">
        <v>1831</v>
      </c>
      <c r="G57" s="9" t="s">
        <v>120</v>
      </c>
      <c r="H57" s="10">
        <v>46022</v>
      </c>
      <c r="I57" s="10" t="s">
        <v>25</v>
      </c>
      <c r="J57" s="9" t="s">
        <v>26</v>
      </c>
      <c r="K57" s="9"/>
      <c r="L57" s="11"/>
      <c r="M57" s="9"/>
      <c r="N57" s="10"/>
      <c r="O57" s="9" t="str">
        <f ca="1">IF(N57="","",IF(N57&lt;TODAY(),"Vencido","Próximo a vencer"))</f>
        <v/>
      </c>
      <c r="P57" s="9"/>
      <c r="Q57" s="9"/>
      <c r="R57" s="9"/>
      <c r="S57" s="9"/>
      <c r="T57" s="12"/>
      <c r="U57" s="9"/>
    </row>
    <row r="58" spans="1:21">
      <c r="A58" s="8" t="s">
        <v>37</v>
      </c>
      <c r="B58" s="8" t="s">
        <v>41</v>
      </c>
      <c r="C58" s="8" t="s">
        <v>114</v>
      </c>
      <c r="D58" s="13" t="s">
        <v>121</v>
      </c>
      <c r="E58" s="9"/>
      <c r="F58" s="9"/>
      <c r="G58" s="9"/>
      <c r="H58" s="10"/>
      <c r="I58" s="9"/>
      <c r="J58" s="9"/>
      <c r="K58" s="9"/>
      <c r="L58" s="11"/>
      <c r="M58" s="9"/>
      <c r="N58" s="10"/>
      <c r="O58" s="9" t="str">
        <f ca="1">IF(N58="","",IF(N58&lt;TODAY(),"Vencido","Próximo a vencer"))</f>
        <v/>
      </c>
      <c r="P58" s="9"/>
      <c r="Q58" s="9"/>
      <c r="R58" s="9"/>
      <c r="S58" s="9"/>
      <c r="T58" s="12"/>
      <c r="U58" s="9"/>
    </row>
    <row r="59" spans="1:21">
      <c r="A59" s="8" t="s">
        <v>60</v>
      </c>
      <c r="B59" s="8" t="s">
        <v>21</v>
      </c>
      <c r="C59" s="8" t="s">
        <v>122</v>
      </c>
      <c r="D59" s="8" t="s">
        <v>122</v>
      </c>
      <c r="E59" s="9">
        <v>414</v>
      </c>
      <c r="F59" s="9">
        <v>1734</v>
      </c>
      <c r="G59" s="9" t="s">
        <v>123</v>
      </c>
      <c r="H59" s="10">
        <v>46080</v>
      </c>
      <c r="I59" s="10" t="s">
        <v>25</v>
      </c>
      <c r="J59" s="9" t="s">
        <v>46</v>
      </c>
      <c r="K59" s="9" t="s">
        <v>50</v>
      </c>
      <c r="L59" s="15" t="s">
        <v>124</v>
      </c>
      <c r="M59" s="9" t="s">
        <v>36</v>
      </c>
      <c r="N59" s="19">
        <v>46087</v>
      </c>
      <c r="O59" s="9" t="str">
        <f ca="1">IF(N59="","",IF(N59&lt;TODAY(),"Vencido","Próximo a vencer"))</f>
        <v>Vencido</v>
      </c>
      <c r="P59" s="9"/>
      <c r="Q59" s="9"/>
      <c r="R59" s="9"/>
      <c r="S59" s="9"/>
      <c r="T59" s="12"/>
      <c r="U59" s="9"/>
    </row>
    <row r="60" spans="1:21">
      <c r="A60" s="8" t="s">
        <v>60</v>
      </c>
      <c r="B60" s="8" t="s">
        <v>21</v>
      </c>
      <c r="C60" s="8" t="s">
        <v>122</v>
      </c>
      <c r="D60" s="8" t="s">
        <v>122</v>
      </c>
      <c r="E60" s="9">
        <v>414</v>
      </c>
      <c r="F60" s="9">
        <v>1739</v>
      </c>
      <c r="G60" s="9" t="s">
        <v>123</v>
      </c>
      <c r="H60" s="10">
        <v>45982</v>
      </c>
      <c r="I60" s="10" t="s">
        <v>25</v>
      </c>
      <c r="J60" s="9" t="s">
        <v>46</v>
      </c>
      <c r="K60" s="9"/>
      <c r="M60" s="9"/>
      <c r="N60" s="19"/>
      <c r="O60" s="9"/>
      <c r="P60" s="9"/>
      <c r="Q60" s="9"/>
      <c r="R60" s="9"/>
      <c r="S60" s="9"/>
      <c r="T60" s="12"/>
      <c r="U60" s="9"/>
    </row>
    <row r="61" spans="1:21">
      <c r="A61" s="8" t="s">
        <v>60</v>
      </c>
      <c r="B61" s="8" t="s">
        <v>21</v>
      </c>
      <c r="C61" s="8" t="s">
        <v>122</v>
      </c>
      <c r="D61" s="8" t="s">
        <v>122</v>
      </c>
      <c r="E61" s="9">
        <v>414</v>
      </c>
      <c r="F61" s="9">
        <v>1741</v>
      </c>
      <c r="G61" s="9" t="s">
        <v>123</v>
      </c>
      <c r="H61" s="10">
        <v>46080</v>
      </c>
      <c r="I61" s="10" t="s">
        <v>25</v>
      </c>
      <c r="J61" s="9" t="s">
        <v>46</v>
      </c>
      <c r="K61" s="9"/>
      <c r="M61" s="9"/>
      <c r="N61" s="19"/>
      <c r="O61" s="9"/>
      <c r="P61" s="9"/>
      <c r="Q61" s="9"/>
      <c r="R61" s="9"/>
      <c r="S61" s="9"/>
      <c r="T61" s="12"/>
      <c r="U61" s="9"/>
    </row>
    <row r="62" spans="1:21">
      <c r="A62" s="8" t="s">
        <v>60</v>
      </c>
      <c r="B62" s="8" t="s">
        <v>21</v>
      </c>
      <c r="C62" s="8" t="s">
        <v>122</v>
      </c>
      <c r="D62" s="8" t="s">
        <v>122</v>
      </c>
      <c r="E62" s="9">
        <v>414</v>
      </c>
      <c r="F62" s="9">
        <v>1742</v>
      </c>
      <c r="G62" s="9" t="s">
        <v>123</v>
      </c>
      <c r="H62" s="10">
        <v>46020</v>
      </c>
      <c r="I62" s="10" t="s">
        <v>25</v>
      </c>
      <c r="J62" s="9" t="s">
        <v>46</v>
      </c>
      <c r="K62" s="9"/>
      <c r="M62" s="9"/>
      <c r="N62" s="19"/>
      <c r="O62" s="9"/>
      <c r="P62" s="9"/>
      <c r="Q62" s="9"/>
      <c r="R62" s="9"/>
      <c r="S62" s="9"/>
      <c r="T62" s="12"/>
      <c r="U62" s="9"/>
    </row>
    <row r="63" spans="1:21">
      <c r="A63" s="8" t="s">
        <v>60</v>
      </c>
      <c r="B63" s="8" t="s">
        <v>21</v>
      </c>
      <c r="C63" s="8" t="s">
        <v>122</v>
      </c>
      <c r="D63" s="8" t="s">
        <v>122</v>
      </c>
      <c r="E63" s="9">
        <v>433</v>
      </c>
      <c r="F63" s="9">
        <v>1764</v>
      </c>
      <c r="G63" s="9" t="s">
        <v>111</v>
      </c>
      <c r="H63" s="10">
        <v>46073</v>
      </c>
      <c r="I63" s="10" t="s">
        <v>25</v>
      </c>
      <c r="J63" s="9" t="s">
        <v>108</v>
      </c>
      <c r="K63" s="9"/>
      <c r="M63" s="9"/>
      <c r="N63" s="19"/>
      <c r="O63" s="9"/>
      <c r="P63" s="9"/>
      <c r="Q63" s="9"/>
      <c r="R63" s="9"/>
      <c r="S63" s="9"/>
      <c r="T63" s="12"/>
      <c r="U63" s="9"/>
    </row>
    <row r="64" spans="1:21">
      <c r="A64" s="8" t="s">
        <v>60</v>
      </c>
      <c r="B64" s="8" t="s">
        <v>21</v>
      </c>
      <c r="C64" s="8" t="s">
        <v>122</v>
      </c>
      <c r="D64" s="8" t="s">
        <v>122</v>
      </c>
      <c r="E64" s="9">
        <v>433</v>
      </c>
      <c r="F64" s="9">
        <v>1762</v>
      </c>
      <c r="G64" s="9" t="s">
        <v>111</v>
      </c>
      <c r="H64" s="10">
        <v>46080</v>
      </c>
      <c r="I64" s="10" t="s">
        <v>25</v>
      </c>
      <c r="J64" s="9" t="s">
        <v>108</v>
      </c>
      <c r="K64" s="9"/>
      <c r="M64" s="9"/>
      <c r="N64" s="19"/>
      <c r="O64" s="9"/>
      <c r="P64" s="9"/>
      <c r="Q64" s="9"/>
      <c r="R64" s="9"/>
      <c r="S64" s="9"/>
      <c r="T64" s="12"/>
      <c r="U64" s="9"/>
    </row>
    <row r="65" spans="1:21">
      <c r="A65" s="8" t="s">
        <v>29</v>
      </c>
      <c r="B65" s="8" t="s">
        <v>47</v>
      </c>
      <c r="C65" s="8" t="s">
        <v>64</v>
      </c>
      <c r="D65" s="8" t="s">
        <v>125</v>
      </c>
      <c r="E65" s="9"/>
      <c r="F65" s="9"/>
      <c r="G65" s="9"/>
      <c r="H65" s="10"/>
      <c r="I65" s="9"/>
      <c r="J65" s="9"/>
      <c r="K65" s="9" t="s">
        <v>68</v>
      </c>
      <c r="L65" s="11" t="s">
        <v>126</v>
      </c>
      <c r="M65" s="9" t="s">
        <v>36</v>
      </c>
      <c r="N65" s="19">
        <v>46111</v>
      </c>
      <c r="O65" s="9" t="str">
        <f ca="1">IF(N65="","",IF(N65&lt;TODAY(),"Vencido","Próximo a vencer"))</f>
        <v>Próximo a vencer</v>
      </c>
      <c r="P65" s="9"/>
      <c r="Q65" s="9"/>
      <c r="R65" s="9"/>
      <c r="S65" s="9"/>
      <c r="T65" s="12"/>
      <c r="U65" s="9"/>
    </row>
    <row r="66" spans="1:21">
      <c r="A66" s="8" t="s">
        <v>29</v>
      </c>
      <c r="B66" s="8" t="s">
        <v>47</v>
      </c>
      <c r="C66" s="8" t="s">
        <v>64</v>
      </c>
      <c r="D66" s="8" t="s">
        <v>125</v>
      </c>
      <c r="E66" s="9"/>
      <c r="F66" s="9"/>
      <c r="G66" s="9"/>
      <c r="H66" s="10"/>
      <c r="I66" s="9"/>
      <c r="J66" s="9"/>
      <c r="K66" s="9" t="s">
        <v>34</v>
      </c>
      <c r="L66" s="11" t="s">
        <v>127</v>
      </c>
      <c r="M66" s="9" t="s">
        <v>36</v>
      </c>
      <c r="N66" s="19">
        <v>46111</v>
      </c>
      <c r="O66" s="9" t="str">
        <f ca="1">IF(N66="","",IF(N66&lt;TODAY(),"Vencido","Próximo a vencer"))</f>
        <v>Próximo a vencer</v>
      </c>
      <c r="P66" s="9"/>
      <c r="Q66" s="9"/>
      <c r="R66" s="9"/>
      <c r="S66" s="9"/>
      <c r="T66" s="12"/>
      <c r="U66" s="9"/>
    </row>
    <row r="67" spans="1:21">
      <c r="A67" s="8" t="s">
        <v>29</v>
      </c>
      <c r="B67" s="8" t="s">
        <v>30</v>
      </c>
      <c r="C67" s="8" t="s">
        <v>128</v>
      </c>
      <c r="D67" s="8" t="s">
        <v>128</v>
      </c>
      <c r="E67" s="9"/>
      <c r="F67" s="9"/>
      <c r="G67" s="9"/>
      <c r="H67" s="10"/>
      <c r="I67" s="9"/>
      <c r="J67" s="9"/>
      <c r="K67" s="9"/>
      <c r="L67" s="11"/>
      <c r="M67" s="9"/>
      <c r="N67" s="10"/>
      <c r="O67" s="9" t="str">
        <f ca="1">IF(N67="","",IF(N67&lt;TODAY(),"Vencido","Próximo a vencer"))</f>
        <v/>
      </c>
      <c r="P67" s="9"/>
      <c r="Q67" s="9"/>
      <c r="R67" s="9"/>
      <c r="S67" s="9"/>
      <c r="T67" s="12"/>
      <c r="U67" s="9"/>
    </row>
    <row r="68" spans="1:21">
      <c r="A68" s="8" t="s">
        <v>29</v>
      </c>
      <c r="B68" s="8" t="s">
        <v>21</v>
      </c>
      <c r="C68" s="8" t="s">
        <v>129</v>
      </c>
      <c r="D68" s="8" t="s">
        <v>130</v>
      </c>
      <c r="E68" s="9"/>
      <c r="F68" s="9"/>
      <c r="G68" s="9"/>
      <c r="H68" s="10"/>
      <c r="I68" s="9"/>
      <c r="J68" s="9"/>
      <c r="K68" s="9" t="s">
        <v>116</v>
      </c>
      <c r="L68" s="11" t="s">
        <v>131</v>
      </c>
      <c r="M68" s="9" t="s">
        <v>36</v>
      </c>
      <c r="N68" s="17">
        <v>46063</v>
      </c>
      <c r="O68" s="9" t="str">
        <f ca="1">IF(N68="","",IF(N68&lt;TODAY(),"Vencido","Próximo a vencer"))</f>
        <v>Vencido</v>
      </c>
      <c r="P68" s="9"/>
      <c r="Q68" s="9"/>
      <c r="R68" s="9"/>
      <c r="S68" s="9"/>
      <c r="T68" s="12"/>
      <c r="U68" s="9"/>
    </row>
    <row r="69" spans="1:21">
      <c r="A69" s="20" t="s">
        <v>29</v>
      </c>
      <c r="B69" s="8" t="s">
        <v>21</v>
      </c>
      <c r="C69" s="8" t="s">
        <v>129</v>
      </c>
      <c r="D69" s="8" t="s">
        <v>130</v>
      </c>
      <c r="E69" s="9"/>
      <c r="F69" s="9"/>
      <c r="G69" s="9"/>
      <c r="H69" s="10"/>
      <c r="I69" s="9" t="str">
        <f t="shared" ca="1" si="0"/>
        <v/>
      </c>
      <c r="J69" s="9"/>
      <c r="K69" s="9" t="s">
        <v>50</v>
      </c>
      <c r="L69" s="11" t="s">
        <v>132</v>
      </c>
      <c r="M69" s="9" t="s">
        <v>36</v>
      </c>
      <c r="N69" s="17">
        <v>46064</v>
      </c>
      <c r="O69" s="9" t="str">
        <f ca="1">IF(N69="","",IF(N69&lt;TODAY(),"Vencido","Próximo a vencer"))</f>
        <v>Vencido</v>
      </c>
      <c r="P69" s="9"/>
      <c r="Q69" s="9"/>
      <c r="R69" s="9"/>
      <c r="S69" s="9"/>
      <c r="T69" s="12"/>
      <c r="U69" s="9"/>
    </row>
    <row r="70" spans="1:21">
      <c r="A70" s="13" t="s">
        <v>37</v>
      </c>
      <c r="B70" s="8" t="s">
        <v>41</v>
      </c>
      <c r="C70" s="13" t="s">
        <v>133</v>
      </c>
      <c r="D70" s="8" t="s">
        <v>134</v>
      </c>
      <c r="E70" s="9"/>
      <c r="F70" s="9"/>
      <c r="G70" s="9"/>
      <c r="H70" s="10"/>
      <c r="I70" s="9" t="str">
        <f t="shared" ca="1" si="0"/>
        <v/>
      </c>
      <c r="J70" s="9"/>
      <c r="K70" s="9"/>
      <c r="L70" s="15"/>
      <c r="M70" s="9"/>
      <c r="N70" s="10"/>
      <c r="O70" s="9" t="str">
        <f ca="1">IF(N70="","",IF(N70&lt;TODAY(),"Vencido","Próximo a vencer"))</f>
        <v/>
      </c>
      <c r="P70" s="9"/>
      <c r="Q70" s="9"/>
      <c r="R70" s="9"/>
      <c r="S70" s="9"/>
      <c r="T70" s="12"/>
      <c r="U70" s="9"/>
    </row>
    <row r="71" spans="1:21">
      <c r="A71" s="13" t="s">
        <v>37</v>
      </c>
      <c r="B71" s="8" t="s">
        <v>41</v>
      </c>
      <c r="C71" s="13" t="s">
        <v>133</v>
      </c>
      <c r="D71" s="8" t="s">
        <v>135</v>
      </c>
      <c r="E71" s="9"/>
      <c r="F71" s="9"/>
      <c r="G71" s="9"/>
      <c r="H71" s="10"/>
      <c r="I71" s="9" t="str">
        <f t="shared" ca="1" si="0"/>
        <v/>
      </c>
      <c r="J71" s="9"/>
      <c r="K71" s="9"/>
      <c r="L71" s="15"/>
      <c r="M71" s="9"/>
      <c r="N71" s="21"/>
      <c r="O71" s="9" t="str">
        <f ca="1">IF(N71="","",IF(N71&lt;TODAY(),"Vencido","Próximo a vencer"))</f>
        <v/>
      </c>
      <c r="P71" s="9"/>
      <c r="Q71" s="9"/>
      <c r="R71" s="9"/>
      <c r="S71" s="9"/>
      <c r="T71" s="12"/>
      <c r="U71" s="9"/>
    </row>
    <row r="72" spans="1:21">
      <c r="A72" s="8" t="s">
        <v>29</v>
      </c>
      <c r="B72" s="8" t="s">
        <v>21</v>
      </c>
      <c r="C72" s="8" t="s">
        <v>136</v>
      </c>
      <c r="D72" s="8" t="s">
        <v>136</v>
      </c>
      <c r="E72" s="9">
        <v>433</v>
      </c>
      <c r="F72" s="9">
        <v>1766</v>
      </c>
      <c r="G72" s="9" t="s">
        <v>111</v>
      </c>
      <c r="H72" s="10">
        <v>46081</v>
      </c>
      <c r="I72" s="10" t="s">
        <v>25</v>
      </c>
      <c r="J72" s="9" t="s">
        <v>108</v>
      </c>
      <c r="K72" s="9"/>
      <c r="L72" s="15"/>
      <c r="M72" s="9"/>
      <c r="N72" s="21"/>
      <c r="O72" s="9" t="str">
        <f ca="1">IF(N72="","",IF(N72&lt;TODAY(),"Vencido","Próximo a vencer"))</f>
        <v/>
      </c>
      <c r="P72" s="9"/>
      <c r="Q72" s="9"/>
      <c r="R72" s="9"/>
      <c r="S72" s="9"/>
      <c r="T72" s="12"/>
      <c r="U72" s="9"/>
    </row>
    <row r="73" spans="1:21">
      <c r="A73" s="8" t="s">
        <v>29</v>
      </c>
      <c r="B73" s="8" t="s">
        <v>47</v>
      </c>
      <c r="C73" s="8" t="s">
        <v>137</v>
      </c>
      <c r="D73" s="8" t="s">
        <v>137</v>
      </c>
      <c r="E73" s="9"/>
      <c r="F73" s="9"/>
      <c r="G73" s="9"/>
      <c r="H73" s="10"/>
      <c r="I73" s="9" t="str">
        <f t="shared" ca="1" si="0"/>
        <v/>
      </c>
      <c r="J73" s="9"/>
      <c r="K73" s="9" t="s">
        <v>34</v>
      </c>
      <c r="L73" s="15" t="s">
        <v>138</v>
      </c>
      <c r="M73" s="9" t="s">
        <v>36</v>
      </c>
      <c r="N73" s="22">
        <v>46049</v>
      </c>
      <c r="O73" s="9" t="str">
        <f ca="1">IF(N73="","",IF(N73&lt;TODAY(),"Vencido","Próximo a vencer"))</f>
        <v>Vencido</v>
      </c>
      <c r="P73" s="9"/>
      <c r="Q73" s="9"/>
      <c r="R73" s="9"/>
      <c r="S73" s="9"/>
      <c r="T73" s="12"/>
      <c r="U73" s="9"/>
    </row>
    <row r="74" spans="1:21">
      <c r="A74" s="8" t="s">
        <v>37</v>
      </c>
      <c r="B74" s="8" t="s">
        <v>41</v>
      </c>
      <c r="C74" s="8" t="s">
        <v>58</v>
      </c>
      <c r="D74" s="8" t="s">
        <v>139</v>
      </c>
      <c r="E74" s="9"/>
      <c r="F74" s="9"/>
      <c r="G74" s="9"/>
      <c r="H74" s="10"/>
      <c r="I74" s="9" t="str">
        <f t="shared" ca="1" si="0"/>
        <v/>
      </c>
      <c r="J74" s="9"/>
      <c r="K74" s="9"/>
      <c r="L74" s="11"/>
      <c r="M74" s="9"/>
      <c r="N74" s="10"/>
      <c r="O74" s="9" t="str">
        <f ca="1">IF(N74="","",IF(N74&lt;TODAY(),"Vencido","Próximo a vencer"))</f>
        <v/>
      </c>
      <c r="P74" s="9"/>
      <c r="Q74" s="9"/>
      <c r="R74" s="9"/>
      <c r="S74" s="9"/>
      <c r="T74" s="12"/>
      <c r="U74" s="9"/>
    </row>
    <row r="75" spans="1:21">
      <c r="A75" s="8" t="s">
        <v>29</v>
      </c>
      <c r="B75" s="8" t="s">
        <v>47</v>
      </c>
      <c r="C75" s="8" t="s">
        <v>140</v>
      </c>
      <c r="D75" s="8" t="s">
        <v>140</v>
      </c>
      <c r="E75" s="9"/>
      <c r="F75" s="9"/>
      <c r="G75" s="9"/>
      <c r="H75" s="10"/>
      <c r="I75" s="9" t="str">
        <f t="shared" ref="I75:I121" ca="1" si="1">IF(H75="","",IF(H75&lt;TODAY(),"Vencido","Próximo a vencer"))</f>
        <v/>
      </c>
      <c r="J75" s="9"/>
      <c r="K75" s="9"/>
      <c r="L75" s="15"/>
      <c r="M75" s="9"/>
      <c r="N75" s="10"/>
      <c r="O75" s="9" t="str">
        <f ca="1">IF(N75="","",IF(N75&lt;TODAY(),"Vencido","Próximo a vencer"))</f>
        <v/>
      </c>
      <c r="P75" s="9"/>
      <c r="Q75" s="9"/>
      <c r="R75" s="9"/>
      <c r="S75" s="9"/>
      <c r="T75" s="12"/>
      <c r="U75" s="9"/>
    </row>
    <row r="76" spans="1:21">
      <c r="A76" s="8" t="s">
        <v>141</v>
      </c>
      <c r="B76" s="8" t="s">
        <v>41</v>
      </c>
      <c r="C76" s="8" t="s">
        <v>142</v>
      </c>
      <c r="D76" s="8" t="s">
        <v>143</v>
      </c>
      <c r="E76" s="9"/>
      <c r="F76" s="9"/>
      <c r="G76" s="9"/>
      <c r="H76" s="10"/>
      <c r="I76" s="9" t="str">
        <f t="shared" ca="1" si="1"/>
        <v/>
      </c>
      <c r="J76" s="9"/>
      <c r="K76" s="9"/>
      <c r="L76" s="15"/>
      <c r="M76" s="9"/>
      <c r="N76" s="10"/>
      <c r="O76" s="9" t="str">
        <f ca="1">IF(N76="","",IF(N76&lt;TODAY(),"Vencido","Próximo a vencer"))</f>
        <v/>
      </c>
      <c r="P76" s="9"/>
      <c r="Q76" s="9"/>
      <c r="R76" s="9"/>
      <c r="S76" s="9"/>
      <c r="T76" s="12"/>
      <c r="U76" s="9"/>
    </row>
    <row r="77" spans="1:21">
      <c r="A77" s="8" t="s">
        <v>37</v>
      </c>
      <c r="B77" s="8" t="s">
        <v>41</v>
      </c>
      <c r="C77" s="8" t="s">
        <v>92</v>
      </c>
      <c r="D77" s="8" t="s">
        <v>144</v>
      </c>
      <c r="E77" s="9"/>
      <c r="F77" s="9"/>
      <c r="G77" s="9"/>
      <c r="H77" s="10"/>
      <c r="I77" s="9" t="str">
        <f t="shared" ca="1" si="1"/>
        <v/>
      </c>
      <c r="J77" s="9"/>
      <c r="K77" s="9"/>
      <c r="L77" s="15"/>
      <c r="M77" s="9"/>
      <c r="N77" s="10"/>
      <c r="O77" s="9" t="str">
        <f ca="1">IF(N77="","",IF(N77&lt;TODAY(),"Vencido","Próximo a vencer"))</f>
        <v/>
      </c>
      <c r="P77" s="9"/>
      <c r="Q77" s="9"/>
      <c r="R77" s="9"/>
      <c r="S77" s="9"/>
      <c r="T77" s="12"/>
      <c r="U77" s="9"/>
    </row>
    <row r="78" spans="1:21">
      <c r="A78" s="8" t="s">
        <v>37</v>
      </c>
      <c r="B78" s="8" t="s">
        <v>41</v>
      </c>
      <c r="C78" s="8" t="s">
        <v>42</v>
      </c>
      <c r="D78" s="8" t="s">
        <v>145</v>
      </c>
      <c r="E78" s="9"/>
      <c r="F78" s="9"/>
      <c r="G78" s="9"/>
      <c r="H78" s="10"/>
      <c r="I78" s="9" t="str">
        <f t="shared" ca="1" si="1"/>
        <v/>
      </c>
      <c r="J78" s="9"/>
      <c r="K78" s="9"/>
      <c r="L78" s="15"/>
      <c r="M78" s="9"/>
      <c r="N78" s="10"/>
      <c r="O78" s="9" t="str">
        <f ca="1">IF(N78="","",IF(N78&lt;TODAY(),"Vencido","Próximo a vencer"))</f>
        <v/>
      </c>
      <c r="P78" s="9"/>
      <c r="Q78" s="9"/>
      <c r="R78" s="9"/>
      <c r="S78" s="9"/>
      <c r="T78" s="12"/>
      <c r="U78" s="9"/>
    </row>
    <row r="79" spans="1:21">
      <c r="A79" s="8" t="s">
        <v>141</v>
      </c>
      <c r="B79" s="8" t="s">
        <v>41</v>
      </c>
      <c r="C79" s="8" t="s">
        <v>142</v>
      </c>
      <c r="D79" s="8" t="s">
        <v>146</v>
      </c>
      <c r="E79" s="9"/>
      <c r="F79" s="9"/>
      <c r="G79" s="9"/>
      <c r="H79" s="10"/>
      <c r="I79" s="9" t="str">
        <f t="shared" ca="1" si="1"/>
        <v/>
      </c>
      <c r="J79" s="9"/>
      <c r="K79" s="9" t="s">
        <v>34</v>
      </c>
      <c r="L79" s="15" t="s">
        <v>147</v>
      </c>
      <c r="M79" s="9" t="s">
        <v>36</v>
      </c>
      <c r="N79" s="17">
        <v>46076</v>
      </c>
      <c r="O79" s="9" t="str">
        <f ca="1">IF(N79="","",IF(N79&lt;TODAY(),"Vencido","Próximo a vencer"))</f>
        <v>Vencido</v>
      </c>
      <c r="P79" s="9"/>
      <c r="Q79" s="9"/>
      <c r="R79" s="9"/>
      <c r="S79" s="9"/>
      <c r="T79" s="12"/>
      <c r="U79" s="9"/>
    </row>
    <row r="80" spans="1:21">
      <c r="A80" s="8" t="s">
        <v>141</v>
      </c>
      <c r="B80" s="8" t="s">
        <v>41</v>
      </c>
      <c r="C80" s="8" t="s">
        <v>142</v>
      </c>
      <c r="D80" s="8" t="s">
        <v>146</v>
      </c>
      <c r="E80" s="9"/>
      <c r="F80" s="9"/>
      <c r="G80" s="9"/>
      <c r="H80" s="10"/>
      <c r="I80" s="9" t="str">
        <f t="shared" ca="1" si="1"/>
        <v/>
      </c>
      <c r="J80" s="9"/>
      <c r="K80" s="9" t="s">
        <v>34</v>
      </c>
      <c r="L80" s="15" t="s">
        <v>148</v>
      </c>
      <c r="M80" s="9" t="s">
        <v>36</v>
      </c>
      <c r="N80" s="17">
        <v>46076</v>
      </c>
      <c r="O80" s="9" t="str">
        <f ca="1">IF(N80="","",IF(N80&lt;TODAY(),"Vencido","Próximo a vencer"))</f>
        <v>Vencido</v>
      </c>
      <c r="P80" s="9"/>
      <c r="Q80" s="9"/>
      <c r="R80" s="9"/>
      <c r="S80" s="9"/>
      <c r="T80" s="12"/>
      <c r="U80" s="9"/>
    </row>
    <row r="81" spans="1:21">
      <c r="A81" s="8" t="s">
        <v>141</v>
      </c>
      <c r="B81" s="8" t="s">
        <v>41</v>
      </c>
      <c r="C81" s="8" t="s">
        <v>142</v>
      </c>
      <c r="D81" s="8" t="s">
        <v>146</v>
      </c>
      <c r="E81" s="9"/>
      <c r="F81" s="9"/>
      <c r="G81" s="9"/>
      <c r="H81" s="10"/>
      <c r="I81" s="9" t="str">
        <f t="shared" ca="1" si="1"/>
        <v/>
      </c>
      <c r="J81" s="9"/>
      <c r="K81" s="14" t="s">
        <v>34</v>
      </c>
      <c r="L81" s="15" t="s">
        <v>149</v>
      </c>
      <c r="M81" s="9" t="s">
        <v>36</v>
      </c>
      <c r="N81" s="22">
        <v>46076</v>
      </c>
      <c r="O81" s="9" t="str">
        <f ca="1">IF(N81="","",IF(N81&lt;TODAY(),"Vencido","Próximo a vencer"))</f>
        <v>Vencido</v>
      </c>
      <c r="P81" s="9"/>
      <c r="Q81" s="9"/>
      <c r="R81" s="9"/>
      <c r="S81" s="9"/>
      <c r="T81" s="12"/>
      <c r="U81" s="9"/>
    </row>
    <row r="82" spans="1:21">
      <c r="A82" s="8" t="s">
        <v>141</v>
      </c>
      <c r="B82" s="8" t="s">
        <v>41</v>
      </c>
      <c r="C82" s="8" t="s">
        <v>142</v>
      </c>
      <c r="D82" s="8" t="s">
        <v>146</v>
      </c>
      <c r="E82" s="9"/>
      <c r="F82" s="9"/>
      <c r="G82" s="9"/>
      <c r="H82" s="10"/>
      <c r="I82" s="9" t="str">
        <f t="shared" ca="1" si="1"/>
        <v/>
      </c>
      <c r="J82" s="9"/>
      <c r="K82" s="14" t="s">
        <v>68</v>
      </c>
      <c r="L82" s="15" t="s">
        <v>150</v>
      </c>
      <c r="M82" s="9" t="s">
        <v>36</v>
      </c>
      <c r="N82" s="22">
        <v>46058</v>
      </c>
      <c r="O82" s="9" t="str">
        <f ca="1">IF(N82="","",IF(N82&lt;TODAY(),"Vencido","Próximo a vencer"))</f>
        <v>Vencido</v>
      </c>
      <c r="P82" s="9"/>
      <c r="Q82" s="9"/>
      <c r="R82" s="9"/>
      <c r="S82" s="9"/>
      <c r="T82" s="12"/>
      <c r="U82" s="9"/>
    </row>
    <row r="83" spans="1:21">
      <c r="A83" s="8" t="s">
        <v>141</v>
      </c>
      <c r="B83" s="8" t="s">
        <v>41</v>
      </c>
      <c r="C83" s="8" t="s">
        <v>142</v>
      </c>
      <c r="D83" s="13" t="s">
        <v>151</v>
      </c>
      <c r="E83" s="9"/>
      <c r="F83" s="9"/>
      <c r="G83" s="9"/>
      <c r="H83" s="10"/>
      <c r="I83" s="9" t="str">
        <f t="shared" ca="1" si="1"/>
        <v/>
      </c>
      <c r="J83" s="9"/>
      <c r="K83" s="14"/>
      <c r="L83" s="15"/>
      <c r="M83" s="9"/>
      <c r="N83" s="21"/>
      <c r="O83" s="9" t="str">
        <f ca="1">IF(N83="","",IF(N83&lt;TODAY(),"Vencido","Próximo a vencer"))</f>
        <v/>
      </c>
      <c r="P83" s="9"/>
      <c r="Q83" s="9"/>
      <c r="R83" s="9"/>
      <c r="S83" s="9"/>
      <c r="T83" s="12"/>
      <c r="U83" s="9"/>
    </row>
    <row r="84" spans="1:21">
      <c r="A84" s="8" t="s">
        <v>60</v>
      </c>
      <c r="B84" s="8" t="s">
        <v>41</v>
      </c>
      <c r="C84" s="13" t="s">
        <v>114</v>
      </c>
      <c r="D84" s="8" t="s">
        <v>152</v>
      </c>
      <c r="E84" s="9">
        <v>407</v>
      </c>
      <c r="F84" s="9">
        <v>1599</v>
      </c>
      <c r="G84" s="9" t="s">
        <v>153</v>
      </c>
      <c r="H84" s="10">
        <v>46079</v>
      </c>
      <c r="I84" s="10" t="s">
        <v>25</v>
      </c>
      <c r="J84" s="9" t="s">
        <v>108</v>
      </c>
      <c r="K84" s="14" t="s">
        <v>34</v>
      </c>
      <c r="L84" s="15" t="s">
        <v>154</v>
      </c>
      <c r="M84" s="16" t="s">
        <v>52</v>
      </c>
      <c r="N84" s="23">
        <v>46108</v>
      </c>
      <c r="O84" s="9" t="str">
        <f ca="1">IF(N84="","",IF(N84&lt;TODAY(),"Vencido","Próximo a vencer"))</f>
        <v>Próximo a vencer</v>
      </c>
      <c r="P84" s="9"/>
      <c r="Q84" s="9"/>
      <c r="R84" s="9"/>
      <c r="S84" s="9"/>
      <c r="T84" s="12"/>
      <c r="U84" s="9"/>
    </row>
    <row r="85" spans="1:21">
      <c r="A85" s="8" t="s">
        <v>60</v>
      </c>
      <c r="B85" s="8" t="s">
        <v>41</v>
      </c>
      <c r="C85" s="13" t="s">
        <v>114</v>
      </c>
      <c r="D85" s="8" t="s">
        <v>152</v>
      </c>
      <c r="E85" s="9"/>
      <c r="F85" s="9"/>
      <c r="G85" s="9"/>
      <c r="H85" s="10"/>
      <c r="I85" s="9" t="str">
        <f t="shared" ca="1" si="1"/>
        <v/>
      </c>
      <c r="J85" s="9"/>
      <c r="K85" s="14" t="s">
        <v>34</v>
      </c>
      <c r="L85" s="15" t="s">
        <v>155</v>
      </c>
      <c r="M85" s="24" t="s">
        <v>52</v>
      </c>
      <c r="N85" s="23">
        <v>46108</v>
      </c>
      <c r="O85" s="9" t="str">
        <f ca="1">IF(N85="","",IF(N85&lt;TODAY(),"Vencido","Próximo a vencer"))</f>
        <v>Próximo a vencer</v>
      </c>
      <c r="P85" s="9"/>
      <c r="Q85" s="9"/>
      <c r="R85" s="9"/>
      <c r="S85" s="9"/>
      <c r="T85" s="12"/>
      <c r="U85" s="9"/>
    </row>
    <row r="86" spans="1:21">
      <c r="A86" s="8" t="s">
        <v>60</v>
      </c>
      <c r="B86" s="8" t="s">
        <v>41</v>
      </c>
      <c r="C86" s="13" t="s">
        <v>114</v>
      </c>
      <c r="D86" s="8" t="s">
        <v>152</v>
      </c>
      <c r="E86" s="9"/>
      <c r="F86" s="9"/>
      <c r="G86" s="9"/>
      <c r="H86" s="10"/>
      <c r="I86" s="9" t="str">
        <f t="shared" ca="1" si="1"/>
        <v/>
      </c>
      <c r="J86" s="9"/>
      <c r="K86" s="14" t="s">
        <v>34</v>
      </c>
      <c r="L86" s="15" t="s">
        <v>156</v>
      </c>
      <c r="M86" s="24" t="s">
        <v>52</v>
      </c>
      <c r="N86" s="23">
        <v>46108</v>
      </c>
      <c r="O86" s="9" t="str">
        <f ca="1">IF(N86="","",IF(N86&lt;TODAY(),"Vencido","Próximo a vencer"))</f>
        <v>Próximo a vencer</v>
      </c>
      <c r="P86" s="9"/>
      <c r="Q86" s="9"/>
      <c r="R86" s="9"/>
      <c r="S86" s="9"/>
      <c r="T86" s="12"/>
      <c r="U86" s="9"/>
    </row>
    <row r="87" spans="1:21">
      <c r="A87" s="8" t="s">
        <v>60</v>
      </c>
      <c r="B87" s="8" t="s">
        <v>41</v>
      </c>
      <c r="C87" s="13" t="s">
        <v>114</v>
      </c>
      <c r="D87" s="8" t="s">
        <v>152</v>
      </c>
      <c r="E87" s="9"/>
      <c r="F87" s="9"/>
      <c r="G87" s="9"/>
      <c r="H87" s="10"/>
      <c r="I87" s="9" t="str">
        <f t="shared" ca="1" si="1"/>
        <v/>
      </c>
      <c r="J87" s="9"/>
      <c r="K87" s="9" t="s">
        <v>34</v>
      </c>
      <c r="L87" s="11" t="s">
        <v>157</v>
      </c>
      <c r="M87" s="24" t="s">
        <v>52</v>
      </c>
      <c r="N87" s="18">
        <v>46108</v>
      </c>
      <c r="O87" s="9" t="str">
        <f ca="1">IF(N87="","",IF(N87&lt;TODAY(),"Vencido","Próximo a vencer"))</f>
        <v>Próximo a vencer</v>
      </c>
      <c r="P87" s="9"/>
      <c r="Q87" s="9"/>
      <c r="R87" s="9"/>
      <c r="S87" s="9"/>
      <c r="T87" s="12"/>
      <c r="U87" s="9"/>
    </row>
    <row r="88" spans="1:21">
      <c r="A88" s="8" t="s">
        <v>60</v>
      </c>
      <c r="B88" s="8" t="s">
        <v>41</v>
      </c>
      <c r="C88" s="13" t="s">
        <v>114</v>
      </c>
      <c r="D88" s="8" t="s">
        <v>152</v>
      </c>
      <c r="E88" s="9"/>
      <c r="F88" s="9"/>
      <c r="G88" s="9"/>
      <c r="H88" s="10"/>
      <c r="I88" s="9" t="str">
        <f t="shared" ca="1" si="1"/>
        <v/>
      </c>
      <c r="J88" s="9"/>
      <c r="K88" s="9" t="s">
        <v>34</v>
      </c>
      <c r="L88" s="11" t="s">
        <v>158</v>
      </c>
      <c r="M88" s="24" t="s">
        <v>52</v>
      </c>
      <c r="N88" s="18">
        <v>46108</v>
      </c>
      <c r="O88" s="9" t="str">
        <f ca="1">IF(N88="","",IF(N88&lt;TODAY(),"Vencido","Próximo a vencer"))</f>
        <v>Próximo a vencer</v>
      </c>
      <c r="P88" s="9"/>
      <c r="Q88" s="9"/>
      <c r="R88" s="9"/>
      <c r="S88" s="9"/>
      <c r="T88" s="12"/>
      <c r="U88" s="9"/>
    </row>
    <row r="89" spans="1:21">
      <c r="A89" s="8" t="s">
        <v>60</v>
      </c>
      <c r="B89" s="8" t="s">
        <v>41</v>
      </c>
      <c r="C89" s="13" t="s">
        <v>114</v>
      </c>
      <c r="D89" s="8" t="s">
        <v>152</v>
      </c>
      <c r="E89" s="9"/>
      <c r="F89" s="9"/>
      <c r="G89" s="9"/>
      <c r="H89" s="10"/>
      <c r="I89" s="9" t="str">
        <f t="shared" ca="1" si="1"/>
        <v/>
      </c>
      <c r="J89" s="9"/>
      <c r="K89" s="9" t="s">
        <v>68</v>
      </c>
      <c r="L89" s="11" t="s">
        <v>159</v>
      </c>
      <c r="M89" s="24" t="s">
        <v>52</v>
      </c>
      <c r="N89" s="18">
        <v>46108</v>
      </c>
      <c r="O89" s="9" t="str">
        <f ca="1">IF(N89="","",IF(N89&lt;TODAY(),"Vencido","Próximo a vencer"))</f>
        <v>Próximo a vencer</v>
      </c>
      <c r="P89" s="9"/>
      <c r="Q89" s="9"/>
      <c r="R89" s="9"/>
      <c r="S89" s="9"/>
      <c r="T89" s="12"/>
      <c r="U89" s="9"/>
    </row>
    <row r="90" spans="1:21" ht="24.75">
      <c r="A90" s="13" t="s">
        <v>37</v>
      </c>
      <c r="B90" s="8" t="s">
        <v>41</v>
      </c>
      <c r="C90" s="13" t="s">
        <v>133</v>
      </c>
      <c r="D90" s="13" t="s">
        <v>160</v>
      </c>
      <c r="E90" s="9"/>
      <c r="F90" s="9"/>
      <c r="G90" s="9"/>
      <c r="H90" s="10"/>
      <c r="I90" s="9" t="str">
        <f t="shared" ca="1" si="1"/>
        <v/>
      </c>
      <c r="J90" s="9"/>
      <c r="K90" s="9" t="s">
        <v>34</v>
      </c>
      <c r="L90" s="11" t="s">
        <v>161</v>
      </c>
      <c r="M90" s="9" t="s">
        <v>36</v>
      </c>
      <c r="N90" s="17">
        <v>46101</v>
      </c>
      <c r="O90" s="9" t="str">
        <f ca="1">IF(N90="","",IF(N90&lt;TODAY(),"Vencido","Próximo a vencer"))</f>
        <v>Próximo a vencer</v>
      </c>
      <c r="P90" s="9"/>
      <c r="Q90" s="9"/>
      <c r="R90" s="9"/>
      <c r="S90" s="9"/>
      <c r="T90" s="12"/>
      <c r="U90" s="9"/>
    </row>
    <row r="91" spans="1:21" ht="24.75">
      <c r="A91" s="13" t="s">
        <v>37</v>
      </c>
      <c r="B91" s="8" t="s">
        <v>41</v>
      </c>
      <c r="C91" s="13" t="s">
        <v>133</v>
      </c>
      <c r="D91" s="13" t="s">
        <v>160</v>
      </c>
      <c r="E91" s="9"/>
      <c r="F91" s="9"/>
      <c r="G91" s="9"/>
      <c r="H91" s="10"/>
      <c r="I91" s="9" t="str">
        <f t="shared" ca="1" si="1"/>
        <v/>
      </c>
      <c r="J91" s="9"/>
      <c r="K91" s="14" t="s">
        <v>68</v>
      </c>
      <c r="L91" s="15" t="s">
        <v>162</v>
      </c>
      <c r="M91" s="9" t="s">
        <v>36</v>
      </c>
      <c r="N91" s="17">
        <v>46101</v>
      </c>
      <c r="O91" s="9" t="str">
        <f ca="1">IF(N91="","",IF(N91&lt;TODAY(),"Vencido","Próximo a vencer"))</f>
        <v>Próximo a vencer</v>
      </c>
      <c r="P91" s="9"/>
      <c r="Q91" s="9"/>
      <c r="R91" s="9"/>
      <c r="S91" s="9"/>
      <c r="T91" s="12"/>
      <c r="U91" s="9"/>
    </row>
    <row r="92" spans="1:21" ht="24.75">
      <c r="A92" s="13" t="s">
        <v>37</v>
      </c>
      <c r="B92" s="8" t="s">
        <v>41</v>
      </c>
      <c r="C92" s="13" t="s">
        <v>133</v>
      </c>
      <c r="D92" s="13" t="s">
        <v>160</v>
      </c>
      <c r="E92" s="9"/>
      <c r="F92" s="9"/>
      <c r="G92" s="9"/>
      <c r="H92" s="10"/>
      <c r="I92" s="9" t="str">
        <f t="shared" ca="1" si="1"/>
        <v/>
      </c>
      <c r="J92" s="9"/>
      <c r="K92" s="14" t="s">
        <v>34</v>
      </c>
      <c r="L92" s="15" t="s">
        <v>163</v>
      </c>
      <c r="M92" s="9" t="s">
        <v>36</v>
      </c>
      <c r="N92" s="17">
        <v>46094</v>
      </c>
      <c r="O92" s="9" t="str">
        <f ca="1">IF(N92="","",IF(N92&lt;TODAY(),"Vencido","Próximo a vencer"))</f>
        <v>Próximo a vencer</v>
      </c>
      <c r="P92" s="9"/>
      <c r="Q92" s="9"/>
      <c r="R92" s="9"/>
      <c r="S92" s="9"/>
      <c r="T92" s="12"/>
      <c r="U92" s="9"/>
    </row>
    <row r="93" spans="1:21" ht="24.75">
      <c r="A93" s="13" t="s">
        <v>37</v>
      </c>
      <c r="B93" s="8" t="s">
        <v>41</v>
      </c>
      <c r="C93" s="13" t="s">
        <v>133</v>
      </c>
      <c r="D93" s="13" t="s">
        <v>160</v>
      </c>
      <c r="E93" s="9"/>
      <c r="F93" s="9"/>
      <c r="G93" s="9"/>
      <c r="H93" s="10"/>
      <c r="I93" s="9" t="str">
        <f t="shared" ca="1" si="1"/>
        <v/>
      </c>
      <c r="J93" s="9"/>
      <c r="K93" s="14" t="s">
        <v>34</v>
      </c>
      <c r="L93" s="15" t="s">
        <v>164</v>
      </c>
      <c r="M93" s="9" t="s">
        <v>36</v>
      </c>
      <c r="N93" s="17">
        <v>46108</v>
      </c>
      <c r="O93" s="9" t="str">
        <f ca="1">IF(N93="","",IF(N93&lt;TODAY(),"Vencido","Próximo a vencer"))</f>
        <v>Próximo a vencer</v>
      </c>
      <c r="P93" s="9"/>
      <c r="Q93" s="9"/>
      <c r="R93" s="9"/>
      <c r="S93" s="9"/>
      <c r="T93" s="12"/>
      <c r="U93" s="9"/>
    </row>
    <row r="94" spans="1:21" ht="24.75">
      <c r="A94" s="13" t="s">
        <v>37</v>
      </c>
      <c r="B94" s="8" t="s">
        <v>41</v>
      </c>
      <c r="C94" s="13" t="s">
        <v>133</v>
      </c>
      <c r="D94" s="13" t="s">
        <v>160</v>
      </c>
      <c r="E94" s="9"/>
      <c r="F94" s="9"/>
      <c r="G94" s="9"/>
      <c r="H94" s="10"/>
      <c r="I94" s="9" t="str">
        <f t="shared" ca="1" si="1"/>
        <v/>
      </c>
      <c r="J94" s="9"/>
      <c r="K94" s="14" t="s">
        <v>34</v>
      </c>
      <c r="L94" s="15" t="s">
        <v>165</v>
      </c>
      <c r="M94" s="9" t="s">
        <v>36</v>
      </c>
      <c r="N94" s="17">
        <v>46108</v>
      </c>
      <c r="O94" s="9" t="str">
        <f ca="1">IF(N94="","",IF(N94&lt;TODAY(),"Vencido","Próximo a vencer"))</f>
        <v>Próximo a vencer</v>
      </c>
      <c r="P94" s="9"/>
      <c r="Q94" s="9"/>
      <c r="R94" s="9"/>
      <c r="S94" s="9"/>
      <c r="T94" s="12"/>
      <c r="U94" s="9"/>
    </row>
    <row r="95" spans="1:21" ht="24.75">
      <c r="A95" s="13" t="s">
        <v>37</v>
      </c>
      <c r="B95" s="8" t="s">
        <v>41</v>
      </c>
      <c r="C95" s="13" t="s">
        <v>133</v>
      </c>
      <c r="D95" s="13" t="s">
        <v>160</v>
      </c>
      <c r="E95" s="9"/>
      <c r="F95" s="9"/>
      <c r="G95" s="9"/>
      <c r="H95" s="10"/>
      <c r="I95" s="9" t="str">
        <f t="shared" ca="1" si="1"/>
        <v/>
      </c>
      <c r="J95" s="9"/>
      <c r="K95" s="9" t="s">
        <v>68</v>
      </c>
      <c r="L95" s="11" t="s">
        <v>166</v>
      </c>
      <c r="M95" s="9" t="s">
        <v>36</v>
      </c>
      <c r="N95" s="17">
        <v>46094</v>
      </c>
      <c r="O95" s="9" t="str">
        <f ca="1">IF(N95="","",IF(N95&lt;TODAY(),"Vencido","Próximo a vencer"))</f>
        <v>Próximo a vencer</v>
      </c>
      <c r="P95" s="9"/>
      <c r="Q95" s="9"/>
      <c r="R95" s="9"/>
      <c r="S95" s="9"/>
      <c r="T95" s="12"/>
      <c r="U95" s="9"/>
    </row>
    <row r="96" spans="1:21">
      <c r="A96" s="8" t="s">
        <v>60</v>
      </c>
      <c r="B96" s="8" t="s">
        <v>41</v>
      </c>
      <c r="C96" s="8" t="s">
        <v>167</v>
      </c>
      <c r="D96" s="8" t="s">
        <v>168</v>
      </c>
      <c r="E96" s="9"/>
      <c r="F96" s="9"/>
      <c r="G96" s="9"/>
      <c r="H96" s="10"/>
      <c r="I96" s="9" t="str">
        <f t="shared" ca="1" si="1"/>
        <v/>
      </c>
      <c r="J96" s="9"/>
      <c r="K96" s="14"/>
      <c r="L96" s="15"/>
      <c r="M96" s="9"/>
      <c r="N96" s="10"/>
      <c r="O96" s="9" t="str">
        <f ca="1">IF(N96="","",IF(N96&lt;TODAY(),"Vencido","Próximo a vencer"))</f>
        <v/>
      </c>
      <c r="P96" s="9"/>
      <c r="Q96" s="9"/>
      <c r="R96" s="9"/>
      <c r="S96" s="9"/>
      <c r="T96" s="12"/>
      <c r="U96" s="9"/>
    </row>
    <row r="97" spans="1:21">
      <c r="A97" s="8" t="s">
        <v>29</v>
      </c>
      <c r="B97" s="8" t="s">
        <v>47</v>
      </c>
      <c r="C97" s="8" t="s">
        <v>64</v>
      </c>
      <c r="D97" s="8" t="s">
        <v>169</v>
      </c>
      <c r="E97" s="9"/>
      <c r="F97" s="9"/>
      <c r="G97" s="9"/>
      <c r="H97" s="10"/>
      <c r="I97" s="9" t="str">
        <f t="shared" ca="1" si="1"/>
        <v/>
      </c>
      <c r="J97" s="9"/>
      <c r="K97" s="14"/>
      <c r="L97" s="15"/>
      <c r="M97" s="9"/>
      <c r="N97" s="10"/>
      <c r="O97" s="9" t="str">
        <f ca="1">IF(N97="","",IF(N97&lt;TODAY(),"Vencido","Próximo a vencer"))</f>
        <v/>
      </c>
      <c r="P97" s="9"/>
      <c r="Q97" s="9"/>
      <c r="R97" s="9"/>
      <c r="S97" s="9"/>
      <c r="T97" s="12"/>
      <c r="U97" s="9"/>
    </row>
    <row r="98" spans="1:21">
      <c r="A98" s="8" t="s">
        <v>20</v>
      </c>
      <c r="B98" s="8" t="s">
        <v>21</v>
      </c>
      <c r="C98" s="8" t="s">
        <v>54</v>
      </c>
      <c r="D98" s="8" t="s">
        <v>170</v>
      </c>
      <c r="E98" s="9"/>
      <c r="F98" s="9"/>
      <c r="G98" s="9"/>
      <c r="H98" s="10"/>
      <c r="I98" s="9" t="str">
        <f t="shared" ca="1" si="1"/>
        <v/>
      </c>
      <c r="J98" s="9"/>
      <c r="K98" s="14"/>
      <c r="L98" s="15"/>
      <c r="M98" s="9"/>
      <c r="N98" s="10"/>
      <c r="O98" s="9" t="str">
        <f ca="1">IF(N98="","",IF(N98&lt;TODAY(),"Vencido","Próximo a vencer"))</f>
        <v/>
      </c>
      <c r="P98" s="9"/>
      <c r="Q98" s="9"/>
      <c r="R98" s="9"/>
      <c r="S98" s="9"/>
      <c r="T98" s="12"/>
      <c r="U98" s="9"/>
    </row>
    <row r="99" spans="1:21">
      <c r="A99" s="8" t="s">
        <v>29</v>
      </c>
      <c r="B99" s="8" t="s">
        <v>30</v>
      </c>
      <c r="C99" s="8" t="s">
        <v>105</v>
      </c>
      <c r="D99" s="8" t="s">
        <v>171</v>
      </c>
      <c r="E99" s="9"/>
      <c r="F99" s="9"/>
      <c r="G99" s="9"/>
      <c r="H99" s="10"/>
      <c r="I99" s="9" t="str">
        <f t="shared" ca="1" si="1"/>
        <v/>
      </c>
      <c r="J99" s="9"/>
      <c r="K99" s="14" t="s">
        <v>116</v>
      </c>
      <c r="L99" s="15" t="s">
        <v>172</v>
      </c>
      <c r="M99" s="9" t="s">
        <v>36</v>
      </c>
      <c r="N99" s="17">
        <v>46081</v>
      </c>
      <c r="O99" s="9" t="str">
        <f ca="1">IF(N99="","",IF(N99&lt;TODAY(),"Vencido","Próximo a vencer"))</f>
        <v>Vencido</v>
      </c>
      <c r="P99" s="9"/>
      <c r="Q99" s="9"/>
      <c r="R99" s="9"/>
      <c r="S99" s="9"/>
      <c r="T99" s="12"/>
      <c r="U99" s="9"/>
    </row>
    <row r="100" spans="1:21">
      <c r="A100" s="8" t="s">
        <v>37</v>
      </c>
      <c r="B100" s="8" t="s">
        <v>41</v>
      </c>
      <c r="C100" s="8" t="s">
        <v>114</v>
      </c>
      <c r="D100" s="13" t="s">
        <v>173</v>
      </c>
      <c r="E100" s="9"/>
      <c r="F100" s="9"/>
      <c r="G100" s="9"/>
      <c r="H100" s="10"/>
      <c r="I100" s="9" t="str">
        <f t="shared" ca="1" si="1"/>
        <v/>
      </c>
      <c r="J100" s="9"/>
      <c r="K100" s="9" t="s">
        <v>34</v>
      </c>
      <c r="L100" s="11" t="s">
        <v>174</v>
      </c>
      <c r="M100" s="16" t="s">
        <v>36</v>
      </c>
      <c r="N100" s="17">
        <v>46062</v>
      </c>
      <c r="O100" s="9" t="str">
        <f ca="1">IF(N100="","",IF(N100&lt;TODAY(),"Vencido","Próximo a vencer"))</f>
        <v>Vencido</v>
      </c>
      <c r="P100" s="9"/>
      <c r="Q100" s="9"/>
      <c r="R100" s="9"/>
      <c r="S100" s="9"/>
      <c r="T100" s="12"/>
      <c r="U100" s="9"/>
    </row>
    <row r="101" spans="1:21">
      <c r="A101" s="8" t="s">
        <v>37</v>
      </c>
      <c r="B101" s="8" t="s">
        <v>41</v>
      </c>
      <c r="C101" s="8" t="s">
        <v>114</v>
      </c>
      <c r="D101" s="13" t="s">
        <v>173</v>
      </c>
      <c r="E101" s="9"/>
      <c r="F101" s="9"/>
      <c r="G101" s="9"/>
      <c r="H101" s="10"/>
      <c r="I101" s="9" t="str">
        <f t="shared" ca="1" si="1"/>
        <v/>
      </c>
      <c r="J101" s="9"/>
      <c r="K101" s="14" t="s">
        <v>34</v>
      </c>
      <c r="L101" s="15" t="s">
        <v>175</v>
      </c>
      <c r="M101" s="16" t="s">
        <v>36</v>
      </c>
      <c r="N101" s="17">
        <v>46080</v>
      </c>
      <c r="O101" s="9" t="str">
        <f ca="1">IF(N101="","",IF(N101&lt;TODAY(),"Vencido","Próximo a vencer"))</f>
        <v>Vencido</v>
      </c>
      <c r="P101" s="9"/>
      <c r="Q101" s="9"/>
      <c r="R101" s="9"/>
      <c r="S101" s="9"/>
      <c r="T101" s="12"/>
      <c r="U101" s="9"/>
    </row>
    <row r="102" spans="1:21">
      <c r="A102" s="8" t="s">
        <v>37</v>
      </c>
      <c r="B102" s="8" t="s">
        <v>41</v>
      </c>
      <c r="C102" s="8" t="s">
        <v>114</v>
      </c>
      <c r="D102" s="13" t="s">
        <v>173</v>
      </c>
      <c r="E102" s="9"/>
      <c r="F102" s="9"/>
      <c r="G102" s="9"/>
      <c r="H102" s="10"/>
      <c r="I102" s="9" t="str">
        <f t="shared" ca="1" si="1"/>
        <v/>
      </c>
      <c r="J102" s="9"/>
      <c r="K102" s="14" t="s">
        <v>34</v>
      </c>
      <c r="L102" s="15" t="s">
        <v>176</v>
      </c>
      <c r="M102" s="16" t="s">
        <v>36</v>
      </c>
      <c r="N102" s="17">
        <v>46080</v>
      </c>
      <c r="O102" s="9" t="str">
        <f ca="1">IF(N102="","",IF(N102&lt;TODAY(),"Vencido","Próximo a vencer"))</f>
        <v>Vencido</v>
      </c>
      <c r="P102" s="9"/>
      <c r="Q102" s="9"/>
      <c r="R102" s="9"/>
      <c r="S102" s="9"/>
      <c r="T102" s="12"/>
      <c r="U102" s="9"/>
    </row>
    <row r="103" spans="1:21">
      <c r="A103" s="8" t="s">
        <v>37</v>
      </c>
      <c r="B103" s="8" t="s">
        <v>41</v>
      </c>
      <c r="C103" s="8" t="s">
        <v>114</v>
      </c>
      <c r="D103" s="13" t="s">
        <v>173</v>
      </c>
      <c r="E103" s="9"/>
      <c r="F103" s="9"/>
      <c r="G103" s="9"/>
      <c r="H103" s="10"/>
      <c r="I103" s="9" t="str">
        <f t="shared" ca="1" si="1"/>
        <v/>
      </c>
      <c r="J103" s="9"/>
      <c r="K103" s="14" t="s">
        <v>177</v>
      </c>
      <c r="L103" s="15" t="s">
        <v>178</v>
      </c>
      <c r="M103" s="16" t="s">
        <v>36</v>
      </c>
      <c r="N103" s="17">
        <v>46112</v>
      </c>
      <c r="O103" s="9" t="str">
        <f ca="1">IF(N103="","",IF(N103&lt;TODAY(),"Vencido","Próximo a vencer"))</f>
        <v>Próximo a vencer</v>
      </c>
      <c r="P103" s="9"/>
      <c r="Q103" s="9"/>
      <c r="R103" s="9"/>
      <c r="S103" s="9"/>
      <c r="T103" s="12"/>
      <c r="U103" s="9"/>
    </row>
    <row r="104" spans="1:21">
      <c r="A104" s="8" t="s">
        <v>60</v>
      </c>
      <c r="B104" s="8" t="s">
        <v>41</v>
      </c>
      <c r="C104" s="8" t="s">
        <v>167</v>
      </c>
      <c r="D104" s="8" t="s">
        <v>179</v>
      </c>
      <c r="E104" s="9"/>
      <c r="F104" s="9"/>
      <c r="G104" s="9"/>
      <c r="H104" s="10"/>
      <c r="I104" s="9" t="str">
        <f t="shared" ca="1" si="1"/>
        <v/>
      </c>
      <c r="J104" s="9"/>
      <c r="K104" s="14"/>
      <c r="L104" s="15"/>
      <c r="M104" s="9"/>
      <c r="N104" s="10"/>
      <c r="O104" s="9" t="str">
        <f ca="1">IF(N104="","",IF(N104&lt;TODAY(),"Vencido","Próximo a vencer"))</f>
        <v/>
      </c>
      <c r="P104" s="9"/>
      <c r="Q104" s="9"/>
      <c r="R104" s="9"/>
      <c r="S104" s="9"/>
      <c r="T104" s="12"/>
      <c r="U104" s="9"/>
    </row>
    <row r="105" spans="1:21">
      <c r="A105" s="8" t="s">
        <v>60</v>
      </c>
      <c r="B105" s="8" t="s">
        <v>41</v>
      </c>
      <c r="C105" s="8" t="s">
        <v>167</v>
      </c>
      <c r="D105" s="8" t="s">
        <v>180</v>
      </c>
      <c r="E105" s="9"/>
      <c r="F105" s="9"/>
      <c r="G105" s="9"/>
      <c r="H105" s="10"/>
      <c r="I105" s="9" t="str">
        <f t="shared" ca="1" si="1"/>
        <v/>
      </c>
      <c r="J105" s="9"/>
      <c r="K105" s="14" t="s">
        <v>83</v>
      </c>
      <c r="L105" s="15" t="s">
        <v>181</v>
      </c>
      <c r="M105" s="16" t="s">
        <v>36</v>
      </c>
      <c r="N105" s="19">
        <v>46076</v>
      </c>
      <c r="O105" s="9" t="str">
        <f ca="1">IF(N105="","",IF(N105&lt;TODAY(),"Vencido","Próximo a vencer"))</f>
        <v>Vencido</v>
      </c>
      <c r="P105" s="9"/>
      <c r="Q105" s="9"/>
      <c r="R105" s="9"/>
      <c r="S105" s="9"/>
      <c r="T105" s="12"/>
      <c r="U105" s="9"/>
    </row>
    <row r="106" spans="1:21">
      <c r="A106" s="8" t="s">
        <v>60</v>
      </c>
      <c r="B106" s="8" t="s">
        <v>41</v>
      </c>
      <c r="C106" s="8" t="s">
        <v>167</v>
      </c>
      <c r="D106" s="8" t="s">
        <v>180</v>
      </c>
      <c r="E106" s="9"/>
      <c r="F106" s="9"/>
      <c r="G106" s="9"/>
      <c r="H106" s="10"/>
      <c r="I106" s="9" t="str">
        <f t="shared" ca="1" si="1"/>
        <v/>
      </c>
      <c r="J106" s="9"/>
      <c r="K106" s="14" t="s">
        <v>71</v>
      </c>
      <c r="L106" s="15" t="s">
        <v>182</v>
      </c>
      <c r="M106" s="16" t="s">
        <v>36</v>
      </c>
      <c r="N106" s="19">
        <v>46076</v>
      </c>
      <c r="O106" s="9" t="str">
        <f ca="1">IF(N106="","",IF(N106&lt;TODAY(),"Vencido","Próximo a vencer"))</f>
        <v>Vencido</v>
      </c>
      <c r="P106" s="9"/>
      <c r="Q106" s="9"/>
      <c r="R106" s="9"/>
      <c r="S106" s="9"/>
      <c r="T106" s="12"/>
      <c r="U106" s="9"/>
    </row>
    <row r="107" spans="1:21">
      <c r="A107" s="8" t="s">
        <v>60</v>
      </c>
      <c r="B107" s="8" t="s">
        <v>41</v>
      </c>
      <c r="C107" s="8" t="s">
        <v>167</v>
      </c>
      <c r="D107" s="8" t="s">
        <v>180</v>
      </c>
      <c r="E107" s="9"/>
      <c r="F107" s="9"/>
      <c r="G107" s="9"/>
      <c r="H107" s="10"/>
      <c r="I107" s="9" t="str">
        <f t="shared" ca="1" si="1"/>
        <v/>
      </c>
      <c r="J107" s="9"/>
      <c r="K107" s="14" t="s">
        <v>34</v>
      </c>
      <c r="L107" s="15" t="s">
        <v>183</v>
      </c>
      <c r="M107" s="16" t="s">
        <v>36</v>
      </c>
      <c r="N107" s="19">
        <v>46076</v>
      </c>
      <c r="O107" s="9" t="str">
        <f ca="1">IF(N107="","",IF(N107&lt;TODAY(),"Vencido","Próximo a vencer"))</f>
        <v>Vencido</v>
      </c>
      <c r="P107" s="9"/>
      <c r="Q107" s="9"/>
      <c r="R107" s="9"/>
      <c r="S107" s="9"/>
      <c r="T107" s="12"/>
      <c r="U107" s="9"/>
    </row>
    <row r="108" spans="1:21">
      <c r="A108" s="8" t="s">
        <v>60</v>
      </c>
      <c r="B108" s="8" t="s">
        <v>41</v>
      </c>
      <c r="C108" s="8" t="s">
        <v>167</v>
      </c>
      <c r="D108" s="8" t="s">
        <v>180</v>
      </c>
      <c r="E108" s="9"/>
      <c r="F108" s="9"/>
      <c r="G108" s="9"/>
      <c r="H108" s="10"/>
      <c r="I108" s="9" t="str">
        <f t="shared" ca="1" si="1"/>
        <v/>
      </c>
      <c r="J108" s="9"/>
      <c r="K108" s="14" t="s">
        <v>34</v>
      </c>
      <c r="L108" s="15" t="s">
        <v>184</v>
      </c>
      <c r="M108" s="16" t="s">
        <v>36</v>
      </c>
      <c r="N108" s="19">
        <v>46077</v>
      </c>
      <c r="O108" s="9" t="str">
        <f ca="1">IF(N108="","",IF(N108&lt;TODAY(),"Vencido","Próximo a vencer"))</f>
        <v>Vencido</v>
      </c>
      <c r="P108" s="9"/>
      <c r="Q108" s="9"/>
      <c r="R108" s="9"/>
      <c r="S108" s="9"/>
      <c r="T108" s="12"/>
      <c r="U108" s="9"/>
    </row>
    <row r="109" spans="1:21">
      <c r="A109" s="8" t="s">
        <v>60</v>
      </c>
      <c r="B109" s="8" t="s">
        <v>41</v>
      </c>
      <c r="C109" s="8" t="s">
        <v>167</v>
      </c>
      <c r="D109" s="8" t="s">
        <v>185</v>
      </c>
      <c r="E109" s="9">
        <v>440</v>
      </c>
      <c r="F109" s="9">
        <v>1774</v>
      </c>
      <c r="G109" s="9" t="s">
        <v>56</v>
      </c>
      <c r="H109" s="10">
        <v>46010</v>
      </c>
      <c r="I109" s="10" t="s">
        <v>25</v>
      </c>
      <c r="J109" s="9" t="s">
        <v>57</v>
      </c>
      <c r="K109" s="14"/>
      <c r="L109" s="15"/>
      <c r="M109" s="9"/>
      <c r="N109" s="10"/>
      <c r="O109" s="9" t="str">
        <f ca="1">IF(N109="","",IF(N109&lt;TODAY(),"Vencido","Próximo a vencer"))</f>
        <v/>
      </c>
      <c r="P109" s="9"/>
      <c r="Q109" s="9"/>
      <c r="R109" s="9"/>
      <c r="S109" s="9"/>
      <c r="T109" s="12"/>
      <c r="U109" s="9"/>
    </row>
    <row r="110" spans="1:21">
      <c r="A110" s="8" t="s">
        <v>60</v>
      </c>
      <c r="B110" s="8" t="s">
        <v>41</v>
      </c>
      <c r="C110" s="8" t="s">
        <v>61</v>
      </c>
      <c r="D110" s="8" t="s">
        <v>186</v>
      </c>
      <c r="E110" s="9"/>
      <c r="F110" s="9"/>
      <c r="G110" s="9"/>
      <c r="H110" s="10"/>
      <c r="I110" s="9" t="str">
        <f t="shared" ca="1" si="1"/>
        <v/>
      </c>
      <c r="J110" s="9"/>
      <c r="K110" s="9" t="s">
        <v>68</v>
      </c>
      <c r="L110" s="11" t="s">
        <v>187</v>
      </c>
      <c r="M110" s="16" t="s">
        <v>36</v>
      </c>
      <c r="N110" s="17">
        <v>46094</v>
      </c>
      <c r="O110" s="9" t="str">
        <f ca="1">IF(N110="","",IF(N110&lt;TODAY(),"Vencido","Próximo a vencer"))</f>
        <v>Próximo a vencer</v>
      </c>
      <c r="P110" s="9"/>
      <c r="Q110" s="9"/>
      <c r="R110" s="9"/>
      <c r="S110" s="9"/>
      <c r="T110" s="12"/>
      <c r="U110" s="9"/>
    </row>
    <row r="111" spans="1:21">
      <c r="A111" s="8" t="s">
        <v>60</v>
      </c>
      <c r="B111" s="8" t="s">
        <v>41</v>
      </c>
      <c r="C111" s="8" t="s">
        <v>61</v>
      </c>
      <c r="D111" s="8" t="s">
        <v>186</v>
      </c>
      <c r="E111" s="9"/>
      <c r="F111" s="9"/>
      <c r="G111" s="9"/>
      <c r="H111" s="10"/>
      <c r="I111" s="9" t="str">
        <f t="shared" ca="1" si="1"/>
        <v/>
      </c>
      <c r="J111" s="9"/>
      <c r="K111" s="14" t="s">
        <v>68</v>
      </c>
      <c r="L111" s="15" t="s">
        <v>188</v>
      </c>
      <c r="M111" s="16" t="s">
        <v>36</v>
      </c>
      <c r="N111" s="17">
        <v>46094</v>
      </c>
      <c r="O111" s="9" t="str">
        <f ca="1">IF(N111="","",IF(N111&lt;TODAY(),"Vencido","Próximo a vencer"))</f>
        <v>Próximo a vencer</v>
      </c>
      <c r="P111" s="9"/>
      <c r="Q111" s="9"/>
      <c r="R111" s="9"/>
      <c r="S111" s="9"/>
      <c r="T111" s="12"/>
      <c r="U111" s="9"/>
    </row>
    <row r="112" spans="1:21">
      <c r="A112" s="8" t="s">
        <v>60</v>
      </c>
      <c r="B112" s="8" t="s">
        <v>41</v>
      </c>
      <c r="C112" s="8" t="s">
        <v>61</v>
      </c>
      <c r="D112" s="8" t="s">
        <v>186</v>
      </c>
      <c r="E112" s="34"/>
      <c r="F112" s="34"/>
      <c r="G112" s="34"/>
      <c r="H112" s="35"/>
      <c r="I112" s="9" t="str">
        <f t="shared" ca="1" si="1"/>
        <v/>
      </c>
      <c r="J112" s="9"/>
      <c r="K112" s="14" t="s">
        <v>50</v>
      </c>
      <c r="L112" s="15" t="s">
        <v>189</v>
      </c>
      <c r="M112" s="16" t="s">
        <v>36</v>
      </c>
      <c r="N112" s="17">
        <v>46094</v>
      </c>
      <c r="O112" s="9" t="str">
        <f ca="1">IF(N112="","",IF(N112&lt;TODAY(),"Vencido","Próximo a vencer"))</f>
        <v>Próximo a vencer</v>
      </c>
      <c r="P112" s="9"/>
      <c r="Q112" s="9"/>
      <c r="R112" s="9"/>
      <c r="S112" s="9"/>
      <c r="T112" s="12"/>
      <c r="U112" s="9"/>
    </row>
    <row r="113" spans="1:15">
      <c r="A113" s="8" t="s">
        <v>60</v>
      </c>
      <c r="B113" s="8" t="s">
        <v>41</v>
      </c>
      <c r="C113" s="8" t="s">
        <v>61</v>
      </c>
      <c r="D113" s="31" t="s">
        <v>186</v>
      </c>
      <c r="E113" s="29"/>
      <c r="F113" s="29"/>
      <c r="G113" s="29"/>
      <c r="H113" s="30"/>
      <c r="I113" s="32" t="str">
        <f t="shared" ca="1" si="1"/>
        <v/>
      </c>
      <c r="K113" t="s">
        <v>68</v>
      </c>
      <c r="L113" s="26" t="s">
        <v>190</v>
      </c>
      <c r="M113" s="27" t="s">
        <v>36</v>
      </c>
      <c r="N113" s="17">
        <v>46094</v>
      </c>
      <c r="O113" s="9" t="str">
        <f ca="1">IF(N113="","",IF(N113&lt;TODAY(),"Vencido","Próximo a vencer"))</f>
        <v>Próximo a vencer</v>
      </c>
    </row>
    <row r="114" spans="1:15">
      <c r="A114" s="8" t="s">
        <v>60</v>
      </c>
      <c r="B114" s="8" t="s">
        <v>41</v>
      </c>
      <c r="C114" s="8" t="s">
        <v>61</v>
      </c>
      <c r="D114" s="31" t="s">
        <v>186</v>
      </c>
      <c r="E114" s="29"/>
      <c r="F114" s="29"/>
      <c r="G114" s="29"/>
      <c r="H114" s="30"/>
      <c r="I114" s="32" t="str">
        <f t="shared" ca="1" si="1"/>
        <v/>
      </c>
      <c r="K114" t="s">
        <v>34</v>
      </c>
      <c r="L114" s="26" t="s">
        <v>191</v>
      </c>
      <c r="M114" s="27" t="s">
        <v>36</v>
      </c>
      <c r="N114" s="17">
        <v>46094</v>
      </c>
      <c r="O114" s="9" t="str">
        <f ca="1">IF(N114="","",IF(N114&lt;TODAY(),"Vencido","Próximo a vencer"))</f>
        <v>Próximo a vencer</v>
      </c>
    </row>
    <row r="115" spans="1:15">
      <c r="A115" s="8" t="s">
        <v>60</v>
      </c>
      <c r="B115" s="8" t="s">
        <v>41</v>
      </c>
      <c r="C115" s="8" t="s">
        <v>61</v>
      </c>
      <c r="D115" s="31" t="s">
        <v>186</v>
      </c>
      <c r="E115" s="29"/>
      <c r="F115" s="29"/>
      <c r="G115" s="29"/>
      <c r="H115" s="30"/>
      <c r="I115" s="32" t="str">
        <f t="shared" ca="1" si="1"/>
        <v/>
      </c>
      <c r="K115" t="s">
        <v>34</v>
      </c>
      <c r="L115" s="26" t="s">
        <v>192</v>
      </c>
      <c r="M115" s="27" t="s">
        <v>36</v>
      </c>
      <c r="N115" s="17">
        <v>46101</v>
      </c>
      <c r="O115" s="9" t="str">
        <f ca="1">IF(N115="","",IF(N115&lt;TODAY(),"Vencido","Próximo a vencer"))</f>
        <v>Próximo a vencer</v>
      </c>
    </row>
    <row r="116" spans="1:15">
      <c r="A116" s="8" t="s">
        <v>60</v>
      </c>
      <c r="B116" s="8" t="s">
        <v>41</v>
      </c>
      <c r="C116" s="8" t="s">
        <v>61</v>
      </c>
      <c r="D116" s="31" t="s">
        <v>186</v>
      </c>
      <c r="E116" s="29"/>
      <c r="F116" s="29"/>
      <c r="G116" s="29"/>
      <c r="H116" s="30"/>
      <c r="I116" s="32" t="str">
        <f t="shared" ca="1" si="1"/>
        <v/>
      </c>
      <c r="K116" t="s">
        <v>116</v>
      </c>
      <c r="L116" s="26" t="s">
        <v>193</v>
      </c>
      <c r="M116" s="27" t="s">
        <v>36</v>
      </c>
      <c r="N116" s="17">
        <v>46094</v>
      </c>
      <c r="O116" s="9" t="str">
        <f ca="1">IF(N116="","",IF(N116&lt;TODAY(),"Vencido","Próximo a vencer"))</f>
        <v>Próximo a vencer</v>
      </c>
    </row>
    <row r="117" spans="1:15">
      <c r="A117" s="8" t="s">
        <v>60</v>
      </c>
      <c r="B117" s="8" t="s">
        <v>41</v>
      </c>
      <c r="C117" s="8" t="s">
        <v>61</v>
      </c>
      <c r="D117" s="31" t="s">
        <v>186</v>
      </c>
      <c r="E117" s="29"/>
      <c r="F117" s="29"/>
      <c r="G117" s="29"/>
      <c r="H117" s="30"/>
      <c r="I117" s="32" t="str">
        <f t="shared" ca="1" si="1"/>
        <v/>
      </c>
      <c r="K117" t="s">
        <v>68</v>
      </c>
      <c r="L117" s="26" t="s">
        <v>194</v>
      </c>
      <c r="M117" s="27" t="s">
        <v>36</v>
      </c>
      <c r="N117" s="17">
        <v>46094</v>
      </c>
      <c r="O117" s="9" t="str">
        <f ca="1">IF(N117="","",IF(N117&lt;TODAY(),"Vencido","Próximo a vencer"))</f>
        <v>Próximo a vencer</v>
      </c>
    </row>
    <row r="118" spans="1:15">
      <c r="A118" s="8" t="s">
        <v>60</v>
      </c>
      <c r="B118" s="8" t="s">
        <v>41</v>
      </c>
      <c r="C118" s="8" t="s">
        <v>61</v>
      </c>
      <c r="D118" s="31" t="s">
        <v>186</v>
      </c>
      <c r="E118" s="29"/>
      <c r="F118" s="29"/>
      <c r="G118" s="29"/>
      <c r="H118" s="30"/>
      <c r="I118" s="32" t="str">
        <f t="shared" ca="1" si="1"/>
        <v/>
      </c>
      <c r="K118" t="s">
        <v>34</v>
      </c>
      <c r="L118" s="26" t="s">
        <v>195</v>
      </c>
      <c r="M118" s="27" t="s">
        <v>36</v>
      </c>
      <c r="N118" s="17">
        <v>46094</v>
      </c>
      <c r="O118" s="9" t="str">
        <f ca="1">IF(N118="","",IF(N118&lt;TODAY(),"Vencido","Próximo a vencer"))</f>
        <v>Próximo a vencer</v>
      </c>
    </row>
    <row r="119" spans="1:15">
      <c r="A119" s="8" t="s">
        <v>20</v>
      </c>
      <c r="B119" s="8" t="s">
        <v>21</v>
      </c>
      <c r="C119" s="8" t="s">
        <v>54</v>
      </c>
      <c r="D119" s="31" t="s">
        <v>196</v>
      </c>
      <c r="E119" s="29">
        <v>409</v>
      </c>
      <c r="F119" s="29">
        <v>1611</v>
      </c>
      <c r="G119" s="29" t="s">
        <v>153</v>
      </c>
      <c r="H119" s="30">
        <v>46064</v>
      </c>
      <c r="I119" s="33" t="s">
        <v>25</v>
      </c>
      <c r="J119" s="9" t="s">
        <v>108</v>
      </c>
      <c r="N119" s="10"/>
      <c r="O119" s="9" t="str">
        <f ca="1">IF(N119="","",IF(N119&lt;TODAY(),"Vencido","Próximo a vencer"))</f>
        <v/>
      </c>
    </row>
    <row r="120" spans="1:15">
      <c r="A120" s="8" t="s">
        <v>37</v>
      </c>
      <c r="B120" s="8" t="s">
        <v>41</v>
      </c>
      <c r="C120" s="8" t="s">
        <v>197</v>
      </c>
      <c r="D120" s="31" t="s">
        <v>197</v>
      </c>
      <c r="E120" s="29"/>
      <c r="F120" s="29"/>
      <c r="G120" s="29"/>
      <c r="H120" s="30"/>
      <c r="I120" s="32" t="str">
        <f t="shared" ca="1" si="1"/>
        <v/>
      </c>
      <c r="K120" t="s">
        <v>68</v>
      </c>
      <c r="L120" s="26" t="s">
        <v>198</v>
      </c>
      <c r="M120" s="27" t="s">
        <v>36</v>
      </c>
      <c r="N120" s="18">
        <v>46083</v>
      </c>
      <c r="O120" s="9" t="str">
        <f ca="1">IF(N120="","",IF(N120&lt;TODAY(),"Vencido","Próximo a vencer"))</f>
        <v>Vencido</v>
      </c>
    </row>
    <row r="121" spans="1:15">
      <c r="A121" s="8" t="s">
        <v>37</v>
      </c>
      <c r="B121" s="8" t="s">
        <v>41</v>
      </c>
      <c r="C121" s="8" t="s">
        <v>197</v>
      </c>
      <c r="D121" s="31" t="s">
        <v>197</v>
      </c>
      <c r="E121" s="29"/>
      <c r="F121" s="29"/>
      <c r="G121" s="29"/>
      <c r="H121" s="30"/>
      <c r="I121" s="32" t="str">
        <f t="shared" ca="1" si="1"/>
        <v/>
      </c>
      <c r="K121" t="s">
        <v>34</v>
      </c>
      <c r="L121" s="26" t="s">
        <v>199</v>
      </c>
      <c r="M121" s="27" t="s">
        <v>52</v>
      </c>
      <c r="N121" s="18">
        <v>46108</v>
      </c>
      <c r="O121" s="9" t="str">
        <f ca="1">IF(N121="","",IF(N121&lt;TODAY(),"Vencido","Próximo a vencer"))</f>
        <v>Próximo a vencer</v>
      </c>
    </row>
  </sheetData>
  <autoFilter ref="A1:T121" xr:uid="{02B36CC5-51CE-4306-ADFA-BDC9C5336B5E}">
    <sortState xmlns:xlrd2="http://schemas.microsoft.com/office/spreadsheetml/2017/richdata2" ref="A2:T121">
      <sortCondition ref="D1:D121"/>
    </sortState>
  </autoFilter>
  <hyperlinks>
    <hyperlink ref="L88" r:id="rId1" display="javascript:void(0);" xr:uid="{78BC68C2-1D2F-48E7-A63D-62F5F6D4FC5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B3553A73F55864994CAF6806DB2233B" ma:contentTypeVersion="15" ma:contentTypeDescription="Crear nuevo documento." ma:contentTypeScope="" ma:versionID="484b429f64a896cf9121b5ac5a445701">
  <xsd:schema xmlns:xsd="http://www.w3.org/2001/XMLSchema" xmlns:xs="http://www.w3.org/2001/XMLSchema" xmlns:p="http://schemas.microsoft.com/office/2006/metadata/properties" xmlns:ns2="787dcc16-ad9c-4aed-8595-d8b714944830" xmlns:ns3="eb4e1f33-0654-4877-a695-74ac1243131b" targetNamespace="http://schemas.microsoft.com/office/2006/metadata/properties" ma:root="true" ma:fieldsID="dd883e4f23756e7d91dbb93f630d1c1d" ns2:_="" ns3:_="">
    <xsd:import namespace="787dcc16-ad9c-4aed-8595-d8b714944830"/>
    <xsd:import namespace="eb4e1f33-0654-4877-a695-74ac124313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dcc16-ad9c-4aed-8595-d8b714944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4e1f33-0654-4877-a695-74ac1243131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aa4390d4-2628-4064-8b8a-3c2a6eda6940}" ma:internalName="TaxCatchAll" ma:showField="CatchAllData" ma:web="eb4e1f33-0654-4877-a695-74ac124313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b4e1f33-0654-4877-a695-74ac1243131b" xsi:nil="true"/>
    <lcf76f155ced4ddcb4097134ff3c332f xmlns="787dcc16-ad9c-4aed-8595-d8b71494483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936755-F0FD-4E45-B1DE-D98E7DC6B375}"/>
</file>

<file path=customXml/itemProps2.xml><?xml version="1.0" encoding="utf-8"?>
<ds:datastoreItem xmlns:ds="http://schemas.openxmlformats.org/officeDocument/2006/customXml" ds:itemID="{7C784CE4-78AD-4BD5-ABBC-528DFA579929}"/>
</file>

<file path=customXml/itemProps3.xml><?xml version="1.0" encoding="utf-8"?>
<ds:datastoreItem xmlns:ds="http://schemas.openxmlformats.org/officeDocument/2006/customXml" ds:itemID="{176F31D6-4E59-4598-9528-DAEC59FED1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Paula Pinzon Hernandez</dc:creator>
  <cp:keywords/>
  <dc:description/>
  <cp:lastModifiedBy>Olga Carolina Montano Gomez</cp:lastModifiedBy>
  <cp:revision/>
  <dcterms:created xsi:type="dcterms:W3CDTF">2026-03-10T21:18:08Z</dcterms:created>
  <dcterms:modified xsi:type="dcterms:W3CDTF">2026-03-13T17:31:33Z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